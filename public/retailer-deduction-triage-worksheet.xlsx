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7280"/>
  </bookViews>
  <sheets>
    <sheet name="Start Here" sheetId="1" r:id="rId1"/>
    <sheet name="Claim Ledger" sheetId="2" r:id="rId2"/>
    <sheet name="Deduction Type Matrix" sheetId="3" r:id="rId3"/>
    <sheet name="Summary" sheetId="4" r:id="rId4"/>
  </sheets>
  <calcPr calcId="191029"/>
</workbook>
</file>

<file path=xl/styles.xml><?xml version="1.0" encoding="utf-8"?>
<styleSheet xmlns="http://schemas.openxmlformats.org/spreadsheetml/2006/main">
  <fonts count="2">
    <font>
      <sz val="11"/>
      <name val="Aptos"/>
      <family val="2"/>
    </font>
    <font>
      <b/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EFED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5"/>
  <sheetViews>
    <sheetView workbookViewId="0"/>
  </sheetViews>
  <cols>
    <col min="1" max="1" width="26" customWidth="1"/>
    <col min="2" max="2" width="120" customWidth="1"/>
  </cols>
  <sheetData>
    <row r="1">
      <c r="A1" t="inlineStr" s="1">
        <is>
          <t>Retailer deduction triage worksheet</t>
        </is>
      </c>
      <c r="B1" t="inlineStr" s="2">
        <is>
          <t>Use the Claim Ledger tab for live line items.</t>
        </is>
      </c>
    </row>
    <row r="2">
      <c r="A2" t="inlineStr" s="1">
        <is>
          <t>Purpose</t>
        </is>
      </c>
      <c r="B2" t="inlineStr" s="2">
        <is>
          <t>Triage remittance, debit note, or portal lines as supportable, missing proof, worth challenging, or Code risk.</t>
        </is>
      </c>
    </row>
    <row r="3">
      <c r="A3" t="inlineStr" s="1">
        <is>
          <t>Method</t>
        </is>
      </c>
      <c r="B3" t="inlineStr" s="2">
        <is>
          <t>Pick the deduction type, enter delivery and claim dates, and let the matrix formulas fill the baseline verdict, evidence, Code check, and neutral query.</t>
        </is>
      </c>
    </row>
    <row r="4">
      <c r="A4" t="inlineStr" s="1">
        <is>
          <t>Timing</t>
        </is>
      </c>
      <c r="B4" t="inlineStr" s="2">
        <is>
          <t>Shortfall and damaged-goods lines flag when the claim date is more than 30 days after delivery.</t>
        </is>
      </c>
    </row>
    <row r="5">
      <c r="A5" t="inlineStr" s="1">
        <is>
          <t>Coverage</t>
        </is>
      </c>
      <c r="B5" t="inlineStr" s="2">
        <is>
          <t>The Deduction Type Matrix tab mirrors the JSON matrix used on the claims pages.</t>
        </is>
      </c>
    </row>
  </sheetData>
</worksheet>
</file>

<file path=xl/worksheets/sheet2.xml><?xml version="1.0" encoding="utf-8"?>
<worksheet xmlns="http://schemas.openxmlformats.org/spreadsheetml/2006/main">
  <dimension ref="A1:O41"/>
  <sheetViews>
    <sheetView workbookViewId="0">
      <pane ySplit="1" topLeftCell="A2" activePane="bottomLeft" state="frozen"/>
    </sheetView>
  </sheetViews>
  <cols>
    <col min="1" max="1" width="18" customWidth="1"/>
    <col min="2" max="4" width="18" customWidth="1"/>
    <col min="5" max="5" width="20" customWidth="1"/>
    <col min="6" max="6" width="28" customWidth="1"/>
    <col min="7" max="7" width="14" customWidth="1"/>
    <col min="8" max="8" width="18" customWidth="1"/>
    <col min="9" max="11" width="34" customWidth="1"/>
    <col min="12" max="12" width="32" customWidth="1"/>
    <col min="13" max="15" width="16" customWidth="1"/>
  </cols>
  <sheetData>
    <row r="1">
      <c r="A1" t="inlineStr" s="1">
        <is>
          <t>Retailer</t>
        </is>
      </c>
      <c r="B1" t="inlineStr" s="1">
        <is>
          <t>Invoice / remittance date</t>
        </is>
      </c>
      <c r="C1" t="inlineStr" s="1">
        <is>
          <t>Delivery date</t>
        </is>
      </c>
      <c r="D1" t="inlineStr" s="1">
        <is>
          <t>Claim raised date</t>
        </is>
      </c>
      <c r="E1" t="inlineStr" s="1">
        <is>
          <t>Deduction type</t>
        </is>
      </c>
      <c r="F1" t="inlineStr" s="1">
        <is>
          <t>Reason note</t>
        </is>
      </c>
      <c r="G1" t="inlineStr" s="1">
        <is>
          <t>Amount</t>
        </is>
      </c>
      <c r="H1" t="inlineStr" s="1">
        <is>
          <t>Verdict</t>
        </is>
      </c>
      <c r="I1" t="inlineStr" s="1">
        <is>
          <t>Evidence</t>
        </is>
      </c>
      <c r="J1" t="inlineStr" s="1">
        <is>
          <t>Code check</t>
        </is>
      </c>
      <c r="K1" t="inlineStr" s="1">
        <is>
          <t>Neutral query</t>
        </is>
      </c>
      <c r="L1" t="inlineStr" s="1">
        <is>
          <t>Gap</t>
        </is>
      </c>
      <c r="M1" t="inlineStr" s="1">
        <is>
          <t>Priority</t>
        </is>
      </c>
      <c r="N1" t="inlineStr" s="1">
        <is>
          <t>Owner</t>
        </is>
      </c>
      <c r="O1" t="inlineStr" s="1">
        <is>
          <t>Status</t>
        </is>
      </c>
    </row>
    <row r="2">
      <c r="A2" t="inlineStr">
        <is>
          <t/>
        </is>
      </c>
      <c r="B2" t="inlineStr" s="4">
        <is>
          <t/>
        </is>
      </c>
      <c r="C2" t="inlineStr" s="4">
        <is>
          <t/>
        </is>
      </c>
      <c r="D2" t="inlineStr" s="4">
        <is>
          <t/>
        </is>
      </c>
      <c r="E2" t="inlineStr">
        <is>
          <t/>
        </is>
      </c>
      <c r="F2" t="inlineStr" s="2">
        <is>
          <t/>
        </is>
      </c>
      <c r="G2" s="3">
        <v>0</v>
      </c>
      <c r="H2">
        <f>IF($E2="","",INDEX('Deduction Type Matrix'!$C$2:$C$17,MATCH($E2,'Deduction Type Matrix'!$A$2:$A$17,0)))</f>
      </c>
      <c r="I2" s="2">
        <f>IF($E2="","",INDEX('Deduction Type Matrix'!$D$2:$D$17,MATCH($E2,'Deduction Type Matrix'!$A$2:$A$17,0)))</f>
      </c>
      <c r="J2" s="2">
        <f>IF($E2="","",INDEX('Deduction Type Matrix'!$E$2:$E$17,MATCH($E2,'Deduction Type Matrix'!$A$2:$A$17,0)))</f>
      </c>
      <c r="K2" s="2">
        <f>IF($E2="","",INDEX('Deduction Type Matrix'!$F$2:$F$17,MATCH($E2,'Deduction Type Matrix'!$A$2:$A$17,0)))</f>
      </c>
      <c r="L2" s="2">
        <f>IF(AND(OR($E2="shortfall",$E2="damaged-goods"),$C2&lt;&gt;"",$D2&lt;&gt;"",$D2-$C2&gt;30),"Claim raised more than 30 days after delivery.",IF($H2="missing proof","Await line-level proof from the retailer.",IF($H2="Code risk","Check Code coverage, agreement basis, and retailer conditions.",IF($H2="worth challenging","Reconcile this line against prior credits, timing, and support.",""))))</f>
      </c>
      <c r="M2">
        <f>IF($E2="","",IF(AND(OR($E2="shortfall",$E2="damaged-goods"),$C2&lt;&gt;"",$D2&lt;&gt;"",$D2-$C2&gt;30),"High",IF(OR($H2="Code risk",$G2&gt;=5000),"High",IF(OR($H2="missing proof",$G2&gt;=1000),"Medium","Low"))))</f>
      </c>
      <c r="N2" t="inlineStr">
        <is>
          <t/>
        </is>
      </c>
      <c r="O2" t="inlineStr">
        <is>
          <t/>
        </is>
      </c>
    </row>
    <row r="3">
      <c r="A3" t="inlineStr">
        <is>
          <t/>
        </is>
      </c>
      <c r="B3" t="inlineStr" s="4">
        <is>
          <t/>
        </is>
      </c>
      <c r="C3" t="inlineStr" s="4">
        <is>
          <t/>
        </is>
      </c>
      <c r="D3" t="inlineStr" s="4">
        <is>
          <t/>
        </is>
      </c>
      <c r="E3" t="inlineStr">
        <is>
          <t/>
        </is>
      </c>
      <c r="F3" t="inlineStr" s="2">
        <is>
          <t/>
        </is>
      </c>
      <c r="G3" s="3">
        <v>0</v>
      </c>
      <c r="H3">
        <f>IF($E3="","",INDEX('Deduction Type Matrix'!$C$2:$C$17,MATCH($E3,'Deduction Type Matrix'!$A$2:$A$17,0)))</f>
      </c>
      <c r="I3" s="2">
        <f>IF($E3="","",INDEX('Deduction Type Matrix'!$D$2:$D$17,MATCH($E3,'Deduction Type Matrix'!$A$2:$A$17,0)))</f>
      </c>
      <c r="J3" s="2">
        <f>IF($E3="","",INDEX('Deduction Type Matrix'!$E$2:$E$17,MATCH($E3,'Deduction Type Matrix'!$A$2:$A$17,0)))</f>
      </c>
      <c r="K3" s="2">
        <f>IF($E3="","",INDEX('Deduction Type Matrix'!$F$2:$F$17,MATCH($E3,'Deduction Type Matrix'!$A$2:$A$17,0)))</f>
      </c>
      <c r="L3" s="2">
        <f>IF(AND(OR($E3="shortfall",$E3="damaged-goods"),$C3&lt;&gt;"",$D3&lt;&gt;"",$D3-$C3&gt;30),"Claim raised more than 30 days after delivery.",IF($H3="missing proof","Await line-level proof from the retailer.",IF($H3="Code risk","Check Code coverage, agreement basis, and retailer conditions.",IF($H3="worth challenging","Reconcile this line against prior credits, timing, and support.",""))))</f>
      </c>
      <c r="M3">
        <f>IF($E3="","",IF(AND(OR($E3="shortfall",$E3="damaged-goods"),$C3&lt;&gt;"",$D3&lt;&gt;"",$D3-$C3&gt;30),"High",IF(OR($H3="Code risk",$G3&gt;=5000),"High",IF(OR($H3="missing proof",$G3&gt;=1000),"Medium","Low"))))</f>
      </c>
      <c r="N3" t="inlineStr">
        <is>
          <t/>
        </is>
      </c>
      <c r="O3" t="inlineStr">
        <is>
          <t/>
        </is>
      </c>
    </row>
    <row r="4">
      <c r="A4" t="inlineStr">
        <is>
          <t/>
        </is>
      </c>
      <c r="B4" t="inlineStr" s="4">
        <is>
          <t/>
        </is>
      </c>
      <c r="C4" t="inlineStr" s="4">
        <is>
          <t/>
        </is>
      </c>
      <c r="D4" t="inlineStr" s="4">
        <is>
          <t/>
        </is>
      </c>
      <c r="E4" t="inlineStr">
        <is>
          <t/>
        </is>
      </c>
      <c r="F4" t="inlineStr" s="2">
        <is>
          <t/>
        </is>
      </c>
      <c r="G4" s="3">
        <v>0</v>
      </c>
      <c r="H4">
        <f>IF($E4="","",INDEX('Deduction Type Matrix'!$C$2:$C$17,MATCH($E4,'Deduction Type Matrix'!$A$2:$A$17,0)))</f>
      </c>
      <c r="I4" s="2">
        <f>IF($E4="","",INDEX('Deduction Type Matrix'!$D$2:$D$17,MATCH($E4,'Deduction Type Matrix'!$A$2:$A$17,0)))</f>
      </c>
      <c r="J4" s="2">
        <f>IF($E4="","",INDEX('Deduction Type Matrix'!$E$2:$E$17,MATCH($E4,'Deduction Type Matrix'!$A$2:$A$17,0)))</f>
      </c>
      <c r="K4" s="2">
        <f>IF($E4="","",INDEX('Deduction Type Matrix'!$F$2:$F$17,MATCH($E4,'Deduction Type Matrix'!$A$2:$A$17,0)))</f>
      </c>
      <c r="L4" s="2">
        <f>IF(AND(OR($E4="shortfall",$E4="damaged-goods"),$C4&lt;&gt;"",$D4&lt;&gt;"",$D4-$C4&gt;30),"Claim raised more than 30 days after delivery.",IF($H4="missing proof","Await line-level proof from the retailer.",IF($H4="Code risk","Check Code coverage, agreement basis, and retailer conditions.",IF($H4="worth challenging","Reconcile this line against prior credits, timing, and support.",""))))</f>
      </c>
      <c r="M4">
        <f>IF($E4="","",IF(AND(OR($E4="shortfall",$E4="damaged-goods"),$C4&lt;&gt;"",$D4&lt;&gt;"",$D4-$C4&gt;30),"High",IF(OR($H4="Code risk",$G4&gt;=5000),"High",IF(OR($H4="missing proof",$G4&gt;=1000),"Medium","Low"))))</f>
      </c>
      <c r="N4" t="inlineStr">
        <is>
          <t/>
        </is>
      </c>
      <c r="O4" t="inlineStr">
        <is>
          <t/>
        </is>
      </c>
    </row>
    <row r="5">
      <c r="A5" t="inlineStr">
        <is>
          <t/>
        </is>
      </c>
      <c r="B5" t="inlineStr" s="4">
        <is>
          <t/>
        </is>
      </c>
      <c r="C5" t="inlineStr" s="4">
        <is>
          <t/>
        </is>
      </c>
      <c r="D5" t="inlineStr" s="4">
        <is>
          <t/>
        </is>
      </c>
      <c r="E5" t="inlineStr">
        <is>
          <t/>
        </is>
      </c>
      <c r="F5" t="inlineStr" s="2">
        <is>
          <t/>
        </is>
      </c>
      <c r="G5" s="3">
        <v>0</v>
      </c>
      <c r="H5">
        <f>IF($E5="","",INDEX('Deduction Type Matrix'!$C$2:$C$17,MATCH($E5,'Deduction Type Matrix'!$A$2:$A$17,0)))</f>
      </c>
      <c r="I5" s="2">
        <f>IF($E5="","",INDEX('Deduction Type Matrix'!$D$2:$D$17,MATCH($E5,'Deduction Type Matrix'!$A$2:$A$17,0)))</f>
      </c>
      <c r="J5" s="2">
        <f>IF($E5="","",INDEX('Deduction Type Matrix'!$E$2:$E$17,MATCH($E5,'Deduction Type Matrix'!$A$2:$A$17,0)))</f>
      </c>
      <c r="K5" s="2">
        <f>IF($E5="","",INDEX('Deduction Type Matrix'!$F$2:$F$17,MATCH($E5,'Deduction Type Matrix'!$A$2:$A$17,0)))</f>
      </c>
      <c r="L5" s="2">
        <f>IF(AND(OR($E5="shortfall",$E5="damaged-goods"),$C5&lt;&gt;"",$D5&lt;&gt;"",$D5-$C5&gt;30),"Claim raised more than 30 days after delivery.",IF($H5="missing proof","Await line-level proof from the retailer.",IF($H5="Code risk","Check Code coverage, agreement basis, and retailer conditions.",IF($H5="worth challenging","Reconcile this line against prior credits, timing, and support.",""))))</f>
      </c>
      <c r="M5">
        <f>IF($E5="","",IF(AND(OR($E5="shortfall",$E5="damaged-goods"),$C5&lt;&gt;"",$D5&lt;&gt;"",$D5-$C5&gt;30),"High",IF(OR($H5="Code risk",$G5&gt;=5000),"High",IF(OR($H5="missing proof",$G5&gt;=1000),"Medium","Low"))))</f>
      </c>
      <c r="N5" t="inlineStr">
        <is>
          <t/>
        </is>
      </c>
      <c r="O5" t="inlineStr">
        <is>
          <t/>
        </is>
      </c>
    </row>
    <row r="6">
      <c r="A6" t="inlineStr">
        <is>
          <t/>
        </is>
      </c>
      <c r="B6" t="inlineStr" s="4">
        <is>
          <t/>
        </is>
      </c>
      <c r="C6" t="inlineStr" s="4">
        <is>
          <t/>
        </is>
      </c>
      <c r="D6" t="inlineStr" s="4">
        <is>
          <t/>
        </is>
      </c>
      <c r="E6" t="inlineStr">
        <is>
          <t/>
        </is>
      </c>
      <c r="F6" t="inlineStr" s="2">
        <is>
          <t/>
        </is>
      </c>
      <c r="G6" s="3">
        <v>0</v>
      </c>
      <c r="H6">
        <f>IF($E6="","",INDEX('Deduction Type Matrix'!$C$2:$C$17,MATCH($E6,'Deduction Type Matrix'!$A$2:$A$17,0)))</f>
      </c>
      <c r="I6" s="2">
        <f>IF($E6="","",INDEX('Deduction Type Matrix'!$D$2:$D$17,MATCH($E6,'Deduction Type Matrix'!$A$2:$A$17,0)))</f>
      </c>
      <c r="J6" s="2">
        <f>IF($E6="","",INDEX('Deduction Type Matrix'!$E$2:$E$17,MATCH($E6,'Deduction Type Matrix'!$A$2:$A$17,0)))</f>
      </c>
      <c r="K6" s="2">
        <f>IF($E6="","",INDEX('Deduction Type Matrix'!$F$2:$F$17,MATCH($E6,'Deduction Type Matrix'!$A$2:$A$17,0)))</f>
      </c>
      <c r="L6" s="2">
        <f>IF(AND(OR($E6="shortfall",$E6="damaged-goods"),$C6&lt;&gt;"",$D6&lt;&gt;"",$D6-$C6&gt;30),"Claim raised more than 30 days after delivery.",IF($H6="missing proof","Await line-level proof from the retailer.",IF($H6="Code risk","Check Code coverage, agreement basis, and retailer conditions.",IF($H6="worth challenging","Reconcile this line against prior credits, timing, and support.",""))))</f>
      </c>
      <c r="M6">
        <f>IF($E6="","",IF(AND(OR($E6="shortfall",$E6="damaged-goods"),$C6&lt;&gt;"",$D6&lt;&gt;"",$D6-$C6&gt;30),"High",IF(OR($H6="Code risk",$G6&gt;=5000),"High",IF(OR($H6="missing proof",$G6&gt;=1000),"Medium","Low"))))</f>
      </c>
      <c r="N6" t="inlineStr">
        <is>
          <t/>
        </is>
      </c>
      <c r="O6" t="inlineStr">
        <is>
          <t/>
        </is>
      </c>
    </row>
    <row r="7">
      <c r="A7" t="inlineStr">
        <is>
          <t/>
        </is>
      </c>
      <c r="B7" t="inlineStr" s="4">
        <is>
          <t/>
        </is>
      </c>
      <c r="C7" t="inlineStr" s="4">
        <is>
          <t/>
        </is>
      </c>
      <c r="D7" t="inlineStr" s="4">
        <is>
          <t/>
        </is>
      </c>
      <c r="E7" t="inlineStr">
        <is>
          <t/>
        </is>
      </c>
      <c r="F7" t="inlineStr" s="2">
        <is>
          <t/>
        </is>
      </c>
      <c r="G7" s="3">
        <v>0</v>
      </c>
      <c r="H7">
        <f>IF($E7="","",INDEX('Deduction Type Matrix'!$C$2:$C$17,MATCH($E7,'Deduction Type Matrix'!$A$2:$A$17,0)))</f>
      </c>
      <c r="I7" s="2">
        <f>IF($E7="","",INDEX('Deduction Type Matrix'!$D$2:$D$17,MATCH($E7,'Deduction Type Matrix'!$A$2:$A$17,0)))</f>
      </c>
      <c r="J7" s="2">
        <f>IF($E7="","",INDEX('Deduction Type Matrix'!$E$2:$E$17,MATCH($E7,'Deduction Type Matrix'!$A$2:$A$17,0)))</f>
      </c>
      <c r="K7" s="2">
        <f>IF($E7="","",INDEX('Deduction Type Matrix'!$F$2:$F$17,MATCH($E7,'Deduction Type Matrix'!$A$2:$A$17,0)))</f>
      </c>
      <c r="L7" s="2">
        <f>IF(AND(OR($E7="shortfall",$E7="damaged-goods"),$C7&lt;&gt;"",$D7&lt;&gt;"",$D7-$C7&gt;30),"Claim raised more than 30 days after delivery.",IF($H7="missing proof","Await line-level proof from the retailer.",IF($H7="Code risk","Check Code coverage, agreement basis, and retailer conditions.",IF($H7="worth challenging","Reconcile this line against prior credits, timing, and support.",""))))</f>
      </c>
      <c r="M7">
        <f>IF($E7="","",IF(AND(OR($E7="shortfall",$E7="damaged-goods"),$C7&lt;&gt;"",$D7&lt;&gt;"",$D7-$C7&gt;30),"High",IF(OR($H7="Code risk",$G7&gt;=5000),"High",IF(OR($H7="missing proof",$G7&gt;=1000),"Medium","Low"))))</f>
      </c>
      <c r="N7" t="inlineStr">
        <is>
          <t/>
        </is>
      </c>
      <c r="O7" t="inlineStr">
        <is>
          <t/>
        </is>
      </c>
    </row>
    <row r="8">
      <c r="A8" t="inlineStr">
        <is>
          <t/>
        </is>
      </c>
      <c r="B8" t="inlineStr" s="4">
        <is>
          <t/>
        </is>
      </c>
      <c r="C8" t="inlineStr" s="4">
        <is>
          <t/>
        </is>
      </c>
      <c r="D8" t="inlineStr" s="4">
        <is>
          <t/>
        </is>
      </c>
      <c r="E8" t="inlineStr">
        <is>
          <t/>
        </is>
      </c>
      <c r="F8" t="inlineStr" s="2">
        <is>
          <t/>
        </is>
      </c>
      <c r="G8" s="3">
        <v>0</v>
      </c>
      <c r="H8">
        <f>IF($E8="","",INDEX('Deduction Type Matrix'!$C$2:$C$17,MATCH($E8,'Deduction Type Matrix'!$A$2:$A$17,0)))</f>
      </c>
      <c r="I8" s="2">
        <f>IF($E8="","",INDEX('Deduction Type Matrix'!$D$2:$D$17,MATCH($E8,'Deduction Type Matrix'!$A$2:$A$17,0)))</f>
      </c>
      <c r="J8" s="2">
        <f>IF($E8="","",INDEX('Deduction Type Matrix'!$E$2:$E$17,MATCH($E8,'Deduction Type Matrix'!$A$2:$A$17,0)))</f>
      </c>
      <c r="K8" s="2">
        <f>IF($E8="","",INDEX('Deduction Type Matrix'!$F$2:$F$17,MATCH($E8,'Deduction Type Matrix'!$A$2:$A$17,0)))</f>
      </c>
      <c r="L8" s="2">
        <f>IF(AND(OR($E8="shortfall",$E8="damaged-goods"),$C8&lt;&gt;"",$D8&lt;&gt;"",$D8-$C8&gt;30),"Claim raised more than 30 days after delivery.",IF($H8="missing proof","Await line-level proof from the retailer.",IF($H8="Code risk","Check Code coverage, agreement basis, and retailer conditions.",IF($H8="worth challenging","Reconcile this line against prior credits, timing, and support.",""))))</f>
      </c>
      <c r="M8">
        <f>IF($E8="","",IF(AND(OR($E8="shortfall",$E8="damaged-goods"),$C8&lt;&gt;"",$D8&lt;&gt;"",$D8-$C8&gt;30),"High",IF(OR($H8="Code risk",$G8&gt;=5000),"High",IF(OR($H8="missing proof",$G8&gt;=1000),"Medium","Low"))))</f>
      </c>
      <c r="N8" t="inlineStr">
        <is>
          <t/>
        </is>
      </c>
      <c r="O8" t="inlineStr">
        <is>
          <t/>
        </is>
      </c>
    </row>
    <row r="9">
      <c r="A9" t="inlineStr">
        <is>
          <t/>
        </is>
      </c>
      <c r="B9" t="inlineStr" s="4">
        <is>
          <t/>
        </is>
      </c>
      <c r="C9" t="inlineStr" s="4">
        <is>
          <t/>
        </is>
      </c>
      <c r="D9" t="inlineStr" s="4">
        <is>
          <t/>
        </is>
      </c>
      <c r="E9" t="inlineStr">
        <is>
          <t/>
        </is>
      </c>
      <c r="F9" t="inlineStr" s="2">
        <is>
          <t/>
        </is>
      </c>
      <c r="G9" s="3">
        <v>0</v>
      </c>
      <c r="H9">
        <f>IF($E9="","",INDEX('Deduction Type Matrix'!$C$2:$C$17,MATCH($E9,'Deduction Type Matrix'!$A$2:$A$17,0)))</f>
      </c>
      <c r="I9" s="2">
        <f>IF($E9="","",INDEX('Deduction Type Matrix'!$D$2:$D$17,MATCH($E9,'Deduction Type Matrix'!$A$2:$A$17,0)))</f>
      </c>
      <c r="J9" s="2">
        <f>IF($E9="","",INDEX('Deduction Type Matrix'!$E$2:$E$17,MATCH($E9,'Deduction Type Matrix'!$A$2:$A$17,0)))</f>
      </c>
      <c r="K9" s="2">
        <f>IF($E9="","",INDEX('Deduction Type Matrix'!$F$2:$F$17,MATCH($E9,'Deduction Type Matrix'!$A$2:$A$17,0)))</f>
      </c>
      <c r="L9" s="2">
        <f>IF(AND(OR($E9="shortfall",$E9="damaged-goods"),$C9&lt;&gt;"",$D9&lt;&gt;"",$D9-$C9&gt;30),"Claim raised more than 30 days after delivery.",IF($H9="missing proof","Await line-level proof from the retailer.",IF($H9="Code risk","Check Code coverage, agreement basis, and retailer conditions.",IF($H9="worth challenging","Reconcile this line against prior credits, timing, and support.",""))))</f>
      </c>
      <c r="M9">
        <f>IF($E9="","",IF(AND(OR($E9="shortfall",$E9="damaged-goods"),$C9&lt;&gt;"",$D9&lt;&gt;"",$D9-$C9&gt;30),"High",IF(OR($H9="Code risk",$G9&gt;=5000),"High",IF(OR($H9="missing proof",$G9&gt;=1000),"Medium","Low"))))</f>
      </c>
      <c r="N9" t="inlineStr">
        <is>
          <t/>
        </is>
      </c>
      <c r="O9" t="inlineStr">
        <is>
          <t/>
        </is>
      </c>
    </row>
    <row r="10">
      <c r="A10" t="inlineStr">
        <is>
          <t/>
        </is>
      </c>
      <c r="B10" t="inlineStr" s="4">
        <is>
          <t/>
        </is>
      </c>
      <c r="C10" t="inlineStr" s="4">
        <is>
          <t/>
        </is>
      </c>
      <c r="D10" t="inlineStr" s="4">
        <is>
          <t/>
        </is>
      </c>
      <c r="E10" t="inlineStr">
        <is>
          <t/>
        </is>
      </c>
      <c r="F10" t="inlineStr" s="2">
        <is>
          <t/>
        </is>
      </c>
      <c r="G10" s="3">
        <v>0</v>
      </c>
      <c r="H10">
        <f>IF($E10="","",INDEX('Deduction Type Matrix'!$C$2:$C$17,MATCH($E10,'Deduction Type Matrix'!$A$2:$A$17,0)))</f>
      </c>
      <c r="I10" s="2">
        <f>IF($E10="","",INDEX('Deduction Type Matrix'!$D$2:$D$17,MATCH($E10,'Deduction Type Matrix'!$A$2:$A$17,0)))</f>
      </c>
      <c r="J10" s="2">
        <f>IF($E10="","",INDEX('Deduction Type Matrix'!$E$2:$E$17,MATCH($E10,'Deduction Type Matrix'!$A$2:$A$17,0)))</f>
      </c>
      <c r="K10" s="2">
        <f>IF($E10="","",INDEX('Deduction Type Matrix'!$F$2:$F$17,MATCH($E10,'Deduction Type Matrix'!$A$2:$A$17,0)))</f>
      </c>
      <c r="L10" s="2">
        <f>IF(AND(OR($E10="shortfall",$E10="damaged-goods"),$C10&lt;&gt;"",$D10&lt;&gt;"",$D10-$C10&gt;30),"Claim raised more than 30 days after delivery.",IF($H10="missing proof","Await line-level proof from the retailer.",IF($H10="Code risk","Check Code coverage, agreement basis, and retailer conditions.",IF($H10="worth challenging","Reconcile this line against prior credits, timing, and support.",""))))</f>
      </c>
      <c r="M10">
        <f>IF($E10="","",IF(AND(OR($E10="shortfall",$E10="damaged-goods"),$C10&lt;&gt;"",$D10&lt;&gt;"",$D10-$C10&gt;30),"High",IF(OR($H10="Code risk",$G10&gt;=5000),"High",IF(OR($H10="missing proof",$G10&gt;=1000),"Medium","Low"))))</f>
      </c>
      <c r="N10" t="inlineStr">
        <is>
          <t/>
        </is>
      </c>
      <c r="O10" t="inlineStr">
        <is>
          <t/>
        </is>
      </c>
    </row>
    <row r="11">
      <c r="A11" t="inlineStr">
        <is>
          <t/>
        </is>
      </c>
      <c r="B11" t="inlineStr" s="4">
        <is>
          <t/>
        </is>
      </c>
      <c r="C11" t="inlineStr" s="4">
        <is>
          <t/>
        </is>
      </c>
      <c r="D11" t="inlineStr" s="4">
        <is>
          <t/>
        </is>
      </c>
      <c r="E11" t="inlineStr">
        <is>
          <t/>
        </is>
      </c>
      <c r="F11" t="inlineStr" s="2">
        <is>
          <t/>
        </is>
      </c>
      <c r="G11" s="3">
        <v>0</v>
      </c>
      <c r="H11">
        <f>IF($E11="","",INDEX('Deduction Type Matrix'!$C$2:$C$17,MATCH($E11,'Deduction Type Matrix'!$A$2:$A$17,0)))</f>
      </c>
      <c r="I11" s="2">
        <f>IF($E11="","",INDEX('Deduction Type Matrix'!$D$2:$D$17,MATCH($E11,'Deduction Type Matrix'!$A$2:$A$17,0)))</f>
      </c>
      <c r="J11" s="2">
        <f>IF($E11="","",INDEX('Deduction Type Matrix'!$E$2:$E$17,MATCH($E11,'Deduction Type Matrix'!$A$2:$A$17,0)))</f>
      </c>
      <c r="K11" s="2">
        <f>IF($E11="","",INDEX('Deduction Type Matrix'!$F$2:$F$17,MATCH($E11,'Deduction Type Matrix'!$A$2:$A$17,0)))</f>
      </c>
      <c r="L11" s="2">
        <f>IF(AND(OR($E11="shortfall",$E11="damaged-goods"),$C11&lt;&gt;"",$D11&lt;&gt;"",$D11-$C11&gt;30),"Claim raised more than 30 days after delivery.",IF($H11="missing proof","Await line-level proof from the retailer.",IF($H11="Code risk","Check Code coverage, agreement basis, and retailer conditions.",IF($H11="worth challenging","Reconcile this line against prior credits, timing, and support.",""))))</f>
      </c>
      <c r="M11">
        <f>IF($E11="","",IF(AND(OR($E11="shortfall",$E11="damaged-goods"),$C11&lt;&gt;"",$D11&lt;&gt;"",$D11-$C11&gt;30),"High",IF(OR($H11="Code risk",$G11&gt;=5000),"High",IF(OR($H11="missing proof",$G11&gt;=1000),"Medium","Low"))))</f>
      </c>
      <c r="N11" t="inlineStr">
        <is>
          <t/>
        </is>
      </c>
      <c r="O11" t="inlineStr">
        <is>
          <t/>
        </is>
      </c>
    </row>
    <row r="12">
      <c r="A12" t="inlineStr">
        <is>
          <t/>
        </is>
      </c>
      <c r="B12" t="inlineStr" s="4">
        <is>
          <t/>
        </is>
      </c>
      <c r="C12" t="inlineStr" s="4">
        <is>
          <t/>
        </is>
      </c>
      <c r="D12" t="inlineStr" s="4">
        <is>
          <t/>
        </is>
      </c>
      <c r="E12" t="inlineStr">
        <is>
          <t/>
        </is>
      </c>
      <c r="F12" t="inlineStr" s="2">
        <is>
          <t/>
        </is>
      </c>
      <c r="G12" s="3">
        <v>0</v>
      </c>
      <c r="H12">
        <f>IF($E12="","",INDEX('Deduction Type Matrix'!$C$2:$C$17,MATCH($E12,'Deduction Type Matrix'!$A$2:$A$17,0)))</f>
      </c>
      <c r="I12" s="2">
        <f>IF($E12="","",INDEX('Deduction Type Matrix'!$D$2:$D$17,MATCH($E12,'Deduction Type Matrix'!$A$2:$A$17,0)))</f>
      </c>
      <c r="J12" s="2">
        <f>IF($E12="","",INDEX('Deduction Type Matrix'!$E$2:$E$17,MATCH($E12,'Deduction Type Matrix'!$A$2:$A$17,0)))</f>
      </c>
      <c r="K12" s="2">
        <f>IF($E12="","",INDEX('Deduction Type Matrix'!$F$2:$F$17,MATCH($E12,'Deduction Type Matrix'!$A$2:$A$17,0)))</f>
      </c>
      <c r="L12" s="2">
        <f>IF(AND(OR($E12="shortfall",$E12="damaged-goods"),$C12&lt;&gt;"",$D12&lt;&gt;"",$D12-$C12&gt;30),"Claim raised more than 30 days after delivery.",IF($H12="missing proof","Await line-level proof from the retailer.",IF($H12="Code risk","Check Code coverage, agreement basis, and retailer conditions.",IF($H12="worth challenging","Reconcile this line against prior credits, timing, and support.",""))))</f>
      </c>
      <c r="M12">
        <f>IF($E12="","",IF(AND(OR($E12="shortfall",$E12="damaged-goods"),$C12&lt;&gt;"",$D12&lt;&gt;"",$D12-$C12&gt;30),"High",IF(OR($H12="Code risk",$G12&gt;=5000),"High",IF(OR($H12="missing proof",$G12&gt;=1000),"Medium","Low"))))</f>
      </c>
      <c r="N12" t="inlineStr">
        <is>
          <t/>
        </is>
      </c>
      <c r="O12" t="inlineStr">
        <is>
          <t/>
        </is>
      </c>
    </row>
    <row r="13">
      <c r="A13" t="inlineStr">
        <is>
          <t/>
        </is>
      </c>
      <c r="B13" t="inlineStr" s="4">
        <is>
          <t/>
        </is>
      </c>
      <c r="C13" t="inlineStr" s="4">
        <is>
          <t/>
        </is>
      </c>
      <c r="D13" t="inlineStr" s="4">
        <is>
          <t/>
        </is>
      </c>
      <c r="E13" t="inlineStr">
        <is>
          <t/>
        </is>
      </c>
      <c r="F13" t="inlineStr" s="2">
        <is>
          <t/>
        </is>
      </c>
      <c r="G13" s="3">
        <v>0</v>
      </c>
      <c r="H13">
        <f>IF($E13="","",INDEX('Deduction Type Matrix'!$C$2:$C$17,MATCH($E13,'Deduction Type Matrix'!$A$2:$A$17,0)))</f>
      </c>
      <c r="I13" s="2">
        <f>IF($E13="","",INDEX('Deduction Type Matrix'!$D$2:$D$17,MATCH($E13,'Deduction Type Matrix'!$A$2:$A$17,0)))</f>
      </c>
      <c r="J13" s="2">
        <f>IF($E13="","",INDEX('Deduction Type Matrix'!$E$2:$E$17,MATCH($E13,'Deduction Type Matrix'!$A$2:$A$17,0)))</f>
      </c>
      <c r="K13" s="2">
        <f>IF($E13="","",INDEX('Deduction Type Matrix'!$F$2:$F$17,MATCH($E13,'Deduction Type Matrix'!$A$2:$A$17,0)))</f>
      </c>
      <c r="L13" s="2">
        <f>IF(AND(OR($E13="shortfall",$E13="damaged-goods"),$C13&lt;&gt;"",$D13&lt;&gt;"",$D13-$C13&gt;30),"Claim raised more than 30 days after delivery.",IF($H13="missing proof","Await line-level proof from the retailer.",IF($H13="Code risk","Check Code coverage, agreement basis, and retailer conditions.",IF($H13="worth challenging","Reconcile this line against prior credits, timing, and support.",""))))</f>
      </c>
      <c r="M13">
        <f>IF($E13="","",IF(AND(OR($E13="shortfall",$E13="damaged-goods"),$C13&lt;&gt;"",$D13&lt;&gt;"",$D13-$C13&gt;30),"High",IF(OR($H13="Code risk",$G13&gt;=5000),"High",IF(OR($H13="missing proof",$G13&gt;=1000),"Medium","Low"))))</f>
      </c>
      <c r="N13" t="inlineStr">
        <is>
          <t/>
        </is>
      </c>
      <c r="O13" t="inlineStr">
        <is>
          <t/>
        </is>
      </c>
    </row>
    <row r="14">
      <c r="A14" t="inlineStr">
        <is>
          <t/>
        </is>
      </c>
      <c r="B14" t="inlineStr" s="4">
        <is>
          <t/>
        </is>
      </c>
      <c r="C14" t="inlineStr" s="4">
        <is>
          <t/>
        </is>
      </c>
      <c r="D14" t="inlineStr" s="4">
        <is>
          <t/>
        </is>
      </c>
      <c r="E14" t="inlineStr">
        <is>
          <t/>
        </is>
      </c>
      <c r="F14" t="inlineStr" s="2">
        <is>
          <t/>
        </is>
      </c>
      <c r="G14" s="3">
        <v>0</v>
      </c>
      <c r="H14">
        <f>IF($E14="","",INDEX('Deduction Type Matrix'!$C$2:$C$17,MATCH($E14,'Deduction Type Matrix'!$A$2:$A$17,0)))</f>
      </c>
      <c r="I14" s="2">
        <f>IF($E14="","",INDEX('Deduction Type Matrix'!$D$2:$D$17,MATCH($E14,'Deduction Type Matrix'!$A$2:$A$17,0)))</f>
      </c>
      <c r="J14" s="2">
        <f>IF($E14="","",INDEX('Deduction Type Matrix'!$E$2:$E$17,MATCH($E14,'Deduction Type Matrix'!$A$2:$A$17,0)))</f>
      </c>
      <c r="K14" s="2">
        <f>IF($E14="","",INDEX('Deduction Type Matrix'!$F$2:$F$17,MATCH($E14,'Deduction Type Matrix'!$A$2:$A$17,0)))</f>
      </c>
      <c r="L14" s="2">
        <f>IF(AND(OR($E14="shortfall",$E14="damaged-goods"),$C14&lt;&gt;"",$D14&lt;&gt;"",$D14-$C14&gt;30),"Claim raised more than 30 days after delivery.",IF($H14="missing proof","Await line-level proof from the retailer.",IF($H14="Code risk","Check Code coverage, agreement basis, and retailer conditions.",IF($H14="worth challenging","Reconcile this line against prior credits, timing, and support.",""))))</f>
      </c>
      <c r="M14">
        <f>IF($E14="","",IF(AND(OR($E14="shortfall",$E14="damaged-goods"),$C14&lt;&gt;"",$D14&lt;&gt;"",$D14-$C14&gt;30),"High",IF(OR($H14="Code risk",$G14&gt;=5000),"High",IF(OR($H14="missing proof",$G14&gt;=1000),"Medium","Low"))))</f>
      </c>
      <c r="N14" t="inlineStr">
        <is>
          <t/>
        </is>
      </c>
      <c r="O14" t="inlineStr">
        <is>
          <t/>
        </is>
      </c>
    </row>
    <row r="15">
      <c r="A15" t="inlineStr">
        <is>
          <t/>
        </is>
      </c>
      <c r="B15" t="inlineStr" s="4">
        <is>
          <t/>
        </is>
      </c>
      <c r="C15" t="inlineStr" s="4">
        <is>
          <t/>
        </is>
      </c>
      <c r="D15" t="inlineStr" s="4">
        <is>
          <t/>
        </is>
      </c>
      <c r="E15" t="inlineStr">
        <is>
          <t/>
        </is>
      </c>
      <c r="F15" t="inlineStr" s="2">
        <is>
          <t/>
        </is>
      </c>
      <c r="G15" s="3">
        <v>0</v>
      </c>
      <c r="H15">
        <f>IF($E15="","",INDEX('Deduction Type Matrix'!$C$2:$C$17,MATCH($E15,'Deduction Type Matrix'!$A$2:$A$17,0)))</f>
      </c>
      <c r="I15" s="2">
        <f>IF($E15="","",INDEX('Deduction Type Matrix'!$D$2:$D$17,MATCH($E15,'Deduction Type Matrix'!$A$2:$A$17,0)))</f>
      </c>
      <c r="J15" s="2">
        <f>IF($E15="","",INDEX('Deduction Type Matrix'!$E$2:$E$17,MATCH($E15,'Deduction Type Matrix'!$A$2:$A$17,0)))</f>
      </c>
      <c r="K15" s="2">
        <f>IF($E15="","",INDEX('Deduction Type Matrix'!$F$2:$F$17,MATCH($E15,'Deduction Type Matrix'!$A$2:$A$17,0)))</f>
      </c>
      <c r="L15" s="2">
        <f>IF(AND(OR($E15="shortfall",$E15="damaged-goods"),$C15&lt;&gt;"",$D15&lt;&gt;"",$D15-$C15&gt;30),"Claim raised more than 30 days after delivery.",IF($H15="missing proof","Await line-level proof from the retailer.",IF($H15="Code risk","Check Code coverage, agreement basis, and retailer conditions.",IF($H15="worth challenging","Reconcile this line against prior credits, timing, and support.",""))))</f>
      </c>
      <c r="M15">
        <f>IF($E15="","",IF(AND(OR($E15="shortfall",$E15="damaged-goods"),$C15&lt;&gt;"",$D15&lt;&gt;"",$D15-$C15&gt;30),"High",IF(OR($H15="Code risk",$G15&gt;=5000),"High",IF(OR($H15="missing proof",$G15&gt;=1000),"Medium","Low"))))</f>
      </c>
      <c r="N15" t="inlineStr">
        <is>
          <t/>
        </is>
      </c>
      <c r="O15" t="inlineStr">
        <is>
          <t/>
        </is>
      </c>
    </row>
    <row r="16">
      <c r="A16" t="inlineStr">
        <is>
          <t/>
        </is>
      </c>
      <c r="B16" t="inlineStr" s="4">
        <is>
          <t/>
        </is>
      </c>
      <c r="C16" t="inlineStr" s="4">
        <is>
          <t/>
        </is>
      </c>
      <c r="D16" t="inlineStr" s="4">
        <is>
          <t/>
        </is>
      </c>
      <c r="E16" t="inlineStr">
        <is>
          <t/>
        </is>
      </c>
      <c r="F16" t="inlineStr" s="2">
        <is>
          <t/>
        </is>
      </c>
      <c r="G16" s="3">
        <v>0</v>
      </c>
      <c r="H16">
        <f>IF($E16="","",INDEX('Deduction Type Matrix'!$C$2:$C$17,MATCH($E16,'Deduction Type Matrix'!$A$2:$A$17,0)))</f>
      </c>
      <c r="I16" s="2">
        <f>IF($E16="","",INDEX('Deduction Type Matrix'!$D$2:$D$17,MATCH($E16,'Deduction Type Matrix'!$A$2:$A$17,0)))</f>
      </c>
      <c r="J16" s="2">
        <f>IF($E16="","",INDEX('Deduction Type Matrix'!$E$2:$E$17,MATCH($E16,'Deduction Type Matrix'!$A$2:$A$17,0)))</f>
      </c>
      <c r="K16" s="2">
        <f>IF($E16="","",INDEX('Deduction Type Matrix'!$F$2:$F$17,MATCH($E16,'Deduction Type Matrix'!$A$2:$A$17,0)))</f>
      </c>
      <c r="L16" s="2">
        <f>IF(AND(OR($E16="shortfall",$E16="damaged-goods"),$C16&lt;&gt;"",$D16&lt;&gt;"",$D16-$C16&gt;30),"Claim raised more than 30 days after delivery.",IF($H16="missing proof","Await line-level proof from the retailer.",IF($H16="Code risk","Check Code coverage, agreement basis, and retailer conditions.",IF($H16="worth challenging","Reconcile this line against prior credits, timing, and support.",""))))</f>
      </c>
      <c r="M16">
        <f>IF($E16="","",IF(AND(OR($E16="shortfall",$E16="damaged-goods"),$C16&lt;&gt;"",$D16&lt;&gt;"",$D16-$C16&gt;30),"High",IF(OR($H16="Code risk",$G16&gt;=5000),"High",IF(OR($H16="missing proof",$G16&gt;=1000),"Medium","Low"))))</f>
      </c>
      <c r="N16" t="inlineStr">
        <is>
          <t/>
        </is>
      </c>
      <c r="O16" t="inlineStr">
        <is>
          <t/>
        </is>
      </c>
    </row>
    <row r="17">
      <c r="A17" t="inlineStr">
        <is>
          <t/>
        </is>
      </c>
      <c r="B17" t="inlineStr" s="4">
        <is>
          <t/>
        </is>
      </c>
      <c r="C17" t="inlineStr" s="4">
        <is>
          <t/>
        </is>
      </c>
      <c r="D17" t="inlineStr" s="4">
        <is>
          <t/>
        </is>
      </c>
      <c r="E17" t="inlineStr">
        <is>
          <t/>
        </is>
      </c>
      <c r="F17" t="inlineStr" s="2">
        <is>
          <t/>
        </is>
      </c>
      <c r="G17" s="3">
        <v>0</v>
      </c>
      <c r="H17">
        <f>IF($E17="","",INDEX('Deduction Type Matrix'!$C$2:$C$17,MATCH($E17,'Deduction Type Matrix'!$A$2:$A$17,0)))</f>
      </c>
      <c r="I17" s="2">
        <f>IF($E17="","",INDEX('Deduction Type Matrix'!$D$2:$D$17,MATCH($E17,'Deduction Type Matrix'!$A$2:$A$17,0)))</f>
      </c>
      <c r="J17" s="2">
        <f>IF($E17="","",INDEX('Deduction Type Matrix'!$E$2:$E$17,MATCH($E17,'Deduction Type Matrix'!$A$2:$A$17,0)))</f>
      </c>
      <c r="K17" s="2">
        <f>IF($E17="","",INDEX('Deduction Type Matrix'!$F$2:$F$17,MATCH($E17,'Deduction Type Matrix'!$A$2:$A$17,0)))</f>
      </c>
      <c r="L17" s="2">
        <f>IF(AND(OR($E17="shortfall",$E17="damaged-goods"),$C17&lt;&gt;"",$D17&lt;&gt;"",$D17-$C17&gt;30),"Claim raised more than 30 days after delivery.",IF($H17="missing proof","Await line-level proof from the retailer.",IF($H17="Code risk","Check Code coverage, agreement basis, and retailer conditions.",IF($H17="worth challenging","Reconcile this line against prior credits, timing, and support.",""))))</f>
      </c>
      <c r="M17">
        <f>IF($E17="","",IF(AND(OR($E17="shortfall",$E17="damaged-goods"),$C17&lt;&gt;"",$D17&lt;&gt;"",$D17-$C17&gt;30),"High",IF(OR($H17="Code risk",$G17&gt;=5000),"High",IF(OR($H17="missing proof",$G17&gt;=1000),"Medium","Low"))))</f>
      </c>
      <c r="N17" t="inlineStr">
        <is>
          <t/>
        </is>
      </c>
      <c r="O17" t="inlineStr">
        <is>
          <t/>
        </is>
      </c>
    </row>
    <row r="18">
      <c r="A18" t="inlineStr">
        <is>
          <t/>
        </is>
      </c>
      <c r="B18" t="inlineStr" s="4">
        <is>
          <t/>
        </is>
      </c>
      <c r="C18" t="inlineStr" s="4">
        <is>
          <t/>
        </is>
      </c>
      <c r="D18" t="inlineStr" s="4">
        <is>
          <t/>
        </is>
      </c>
      <c r="E18" t="inlineStr">
        <is>
          <t/>
        </is>
      </c>
      <c r="F18" t="inlineStr" s="2">
        <is>
          <t/>
        </is>
      </c>
      <c r="G18" s="3">
        <v>0</v>
      </c>
      <c r="H18">
        <f>IF($E18="","",INDEX('Deduction Type Matrix'!$C$2:$C$17,MATCH($E18,'Deduction Type Matrix'!$A$2:$A$17,0)))</f>
      </c>
      <c r="I18" s="2">
        <f>IF($E18="","",INDEX('Deduction Type Matrix'!$D$2:$D$17,MATCH($E18,'Deduction Type Matrix'!$A$2:$A$17,0)))</f>
      </c>
      <c r="J18" s="2">
        <f>IF($E18="","",INDEX('Deduction Type Matrix'!$E$2:$E$17,MATCH($E18,'Deduction Type Matrix'!$A$2:$A$17,0)))</f>
      </c>
      <c r="K18" s="2">
        <f>IF($E18="","",INDEX('Deduction Type Matrix'!$F$2:$F$17,MATCH($E18,'Deduction Type Matrix'!$A$2:$A$17,0)))</f>
      </c>
      <c r="L18" s="2">
        <f>IF(AND(OR($E18="shortfall",$E18="damaged-goods"),$C18&lt;&gt;"",$D18&lt;&gt;"",$D18-$C18&gt;30),"Claim raised more than 30 days after delivery.",IF($H18="missing proof","Await line-level proof from the retailer.",IF($H18="Code risk","Check Code coverage, agreement basis, and retailer conditions.",IF($H18="worth challenging","Reconcile this line against prior credits, timing, and support.",""))))</f>
      </c>
      <c r="M18">
        <f>IF($E18="","",IF(AND(OR($E18="shortfall",$E18="damaged-goods"),$C18&lt;&gt;"",$D18&lt;&gt;"",$D18-$C18&gt;30),"High",IF(OR($H18="Code risk",$G18&gt;=5000),"High",IF(OR($H18="missing proof",$G18&gt;=1000),"Medium","Low"))))</f>
      </c>
      <c r="N18" t="inlineStr">
        <is>
          <t/>
        </is>
      </c>
      <c r="O18" t="inlineStr">
        <is>
          <t/>
        </is>
      </c>
    </row>
    <row r="19">
      <c r="A19" t="inlineStr">
        <is>
          <t/>
        </is>
      </c>
      <c r="B19" t="inlineStr" s="4">
        <is>
          <t/>
        </is>
      </c>
      <c r="C19" t="inlineStr" s="4">
        <is>
          <t/>
        </is>
      </c>
      <c r="D19" t="inlineStr" s="4">
        <is>
          <t/>
        </is>
      </c>
      <c r="E19" t="inlineStr">
        <is>
          <t/>
        </is>
      </c>
      <c r="F19" t="inlineStr" s="2">
        <is>
          <t/>
        </is>
      </c>
      <c r="G19" s="3">
        <v>0</v>
      </c>
      <c r="H19">
        <f>IF($E19="","",INDEX('Deduction Type Matrix'!$C$2:$C$17,MATCH($E19,'Deduction Type Matrix'!$A$2:$A$17,0)))</f>
      </c>
      <c r="I19" s="2">
        <f>IF($E19="","",INDEX('Deduction Type Matrix'!$D$2:$D$17,MATCH($E19,'Deduction Type Matrix'!$A$2:$A$17,0)))</f>
      </c>
      <c r="J19" s="2">
        <f>IF($E19="","",INDEX('Deduction Type Matrix'!$E$2:$E$17,MATCH($E19,'Deduction Type Matrix'!$A$2:$A$17,0)))</f>
      </c>
      <c r="K19" s="2">
        <f>IF($E19="","",INDEX('Deduction Type Matrix'!$F$2:$F$17,MATCH($E19,'Deduction Type Matrix'!$A$2:$A$17,0)))</f>
      </c>
      <c r="L19" s="2">
        <f>IF(AND(OR($E19="shortfall",$E19="damaged-goods"),$C19&lt;&gt;"",$D19&lt;&gt;"",$D19-$C19&gt;30),"Claim raised more than 30 days after delivery.",IF($H19="missing proof","Await line-level proof from the retailer.",IF($H19="Code risk","Check Code coverage, agreement basis, and retailer conditions.",IF($H19="worth challenging","Reconcile this line against prior credits, timing, and support.",""))))</f>
      </c>
      <c r="M19">
        <f>IF($E19="","",IF(AND(OR($E19="shortfall",$E19="damaged-goods"),$C19&lt;&gt;"",$D19&lt;&gt;"",$D19-$C19&gt;30),"High",IF(OR($H19="Code risk",$G19&gt;=5000),"High",IF(OR($H19="missing proof",$G19&gt;=1000),"Medium","Low"))))</f>
      </c>
      <c r="N19" t="inlineStr">
        <is>
          <t/>
        </is>
      </c>
      <c r="O19" t="inlineStr">
        <is>
          <t/>
        </is>
      </c>
    </row>
    <row r="20">
      <c r="A20" t="inlineStr">
        <is>
          <t/>
        </is>
      </c>
      <c r="B20" t="inlineStr" s="4">
        <is>
          <t/>
        </is>
      </c>
      <c r="C20" t="inlineStr" s="4">
        <is>
          <t/>
        </is>
      </c>
      <c r="D20" t="inlineStr" s="4">
        <is>
          <t/>
        </is>
      </c>
      <c r="E20" t="inlineStr">
        <is>
          <t/>
        </is>
      </c>
      <c r="F20" t="inlineStr" s="2">
        <is>
          <t/>
        </is>
      </c>
      <c r="G20" s="3">
        <v>0</v>
      </c>
      <c r="H20">
        <f>IF($E20="","",INDEX('Deduction Type Matrix'!$C$2:$C$17,MATCH($E20,'Deduction Type Matrix'!$A$2:$A$17,0)))</f>
      </c>
      <c r="I20" s="2">
        <f>IF($E20="","",INDEX('Deduction Type Matrix'!$D$2:$D$17,MATCH($E20,'Deduction Type Matrix'!$A$2:$A$17,0)))</f>
      </c>
      <c r="J20" s="2">
        <f>IF($E20="","",INDEX('Deduction Type Matrix'!$E$2:$E$17,MATCH($E20,'Deduction Type Matrix'!$A$2:$A$17,0)))</f>
      </c>
      <c r="K20" s="2">
        <f>IF($E20="","",INDEX('Deduction Type Matrix'!$F$2:$F$17,MATCH($E20,'Deduction Type Matrix'!$A$2:$A$17,0)))</f>
      </c>
      <c r="L20" s="2">
        <f>IF(AND(OR($E20="shortfall",$E20="damaged-goods"),$C20&lt;&gt;"",$D20&lt;&gt;"",$D20-$C20&gt;30),"Claim raised more than 30 days after delivery.",IF($H20="missing proof","Await line-level proof from the retailer.",IF($H20="Code risk","Check Code coverage, agreement basis, and retailer conditions.",IF($H20="worth challenging","Reconcile this line against prior credits, timing, and support.",""))))</f>
      </c>
      <c r="M20">
        <f>IF($E20="","",IF(AND(OR($E20="shortfall",$E20="damaged-goods"),$C20&lt;&gt;"",$D20&lt;&gt;"",$D20-$C20&gt;30),"High",IF(OR($H20="Code risk",$G20&gt;=5000),"High",IF(OR($H20="missing proof",$G20&gt;=1000),"Medium","Low"))))</f>
      </c>
      <c r="N20" t="inlineStr">
        <is>
          <t/>
        </is>
      </c>
      <c r="O20" t="inlineStr">
        <is>
          <t/>
        </is>
      </c>
    </row>
    <row r="21">
      <c r="A21" t="inlineStr">
        <is>
          <t/>
        </is>
      </c>
      <c r="B21" t="inlineStr" s="4">
        <is>
          <t/>
        </is>
      </c>
      <c r="C21" t="inlineStr" s="4">
        <is>
          <t/>
        </is>
      </c>
      <c r="D21" t="inlineStr" s="4">
        <is>
          <t/>
        </is>
      </c>
      <c r="E21" t="inlineStr">
        <is>
          <t/>
        </is>
      </c>
      <c r="F21" t="inlineStr" s="2">
        <is>
          <t/>
        </is>
      </c>
      <c r="G21" s="3">
        <v>0</v>
      </c>
      <c r="H21">
        <f>IF($E21="","",INDEX('Deduction Type Matrix'!$C$2:$C$17,MATCH($E21,'Deduction Type Matrix'!$A$2:$A$17,0)))</f>
      </c>
      <c r="I21" s="2">
        <f>IF($E21="","",INDEX('Deduction Type Matrix'!$D$2:$D$17,MATCH($E21,'Deduction Type Matrix'!$A$2:$A$17,0)))</f>
      </c>
      <c r="J21" s="2">
        <f>IF($E21="","",INDEX('Deduction Type Matrix'!$E$2:$E$17,MATCH($E21,'Deduction Type Matrix'!$A$2:$A$17,0)))</f>
      </c>
      <c r="K21" s="2">
        <f>IF($E21="","",INDEX('Deduction Type Matrix'!$F$2:$F$17,MATCH($E21,'Deduction Type Matrix'!$A$2:$A$17,0)))</f>
      </c>
      <c r="L21" s="2">
        <f>IF(AND(OR($E21="shortfall",$E21="damaged-goods"),$C21&lt;&gt;"",$D21&lt;&gt;"",$D21-$C21&gt;30),"Claim raised more than 30 days after delivery.",IF($H21="missing proof","Await line-level proof from the retailer.",IF($H21="Code risk","Check Code coverage, agreement basis, and retailer conditions.",IF($H21="worth challenging","Reconcile this line against prior credits, timing, and support.",""))))</f>
      </c>
      <c r="M21">
        <f>IF($E21="","",IF(AND(OR($E21="shortfall",$E21="damaged-goods"),$C21&lt;&gt;"",$D21&lt;&gt;"",$D21-$C21&gt;30),"High",IF(OR($H21="Code risk",$G21&gt;=5000),"High",IF(OR($H21="missing proof",$G21&gt;=1000),"Medium","Low"))))</f>
      </c>
      <c r="N21" t="inlineStr">
        <is>
          <t/>
        </is>
      </c>
      <c r="O21" t="inlineStr">
        <is>
          <t/>
        </is>
      </c>
    </row>
    <row r="22">
      <c r="A22" t="inlineStr">
        <is>
          <t/>
        </is>
      </c>
      <c r="B22" t="inlineStr" s="4">
        <is>
          <t/>
        </is>
      </c>
      <c r="C22" t="inlineStr" s="4">
        <is>
          <t/>
        </is>
      </c>
      <c r="D22" t="inlineStr" s="4">
        <is>
          <t/>
        </is>
      </c>
      <c r="E22" t="inlineStr">
        <is>
          <t/>
        </is>
      </c>
      <c r="F22" t="inlineStr" s="2">
        <is>
          <t/>
        </is>
      </c>
      <c r="G22" s="3">
        <v>0</v>
      </c>
      <c r="H22">
        <f>IF($E22="","",INDEX('Deduction Type Matrix'!$C$2:$C$17,MATCH($E22,'Deduction Type Matrix'!$A$2:$A$17,0)))</f>
      </c>
      <c r="I22" s="2">
        <f>IF($E22="","",INDEX('Deduction Type Matrix'!$D$2:$D$17,MATCH($E22,'Deduction Type Matrix'!$A$2:$A$17,0)))</f>
      </c>
      <c r="J22" s="2">
        <f>IF($E22="","",INDEX('Deduction Type Matrix'!$E$2:$E$17,MATCH($E22,'Deduction Type Matrix'!$A$2:$A$17,0)))</f>
      </c>
      <c r="K22" s="2">
        <f>IF($E22="","",INDEX('Deduction Type Matrix'!$F$2:$F$17,MATCH($E22,'Deduction Type Matrix'!$A$2:$A$17,0)))</f>
      </c>
      <c r="L22" s="2">
        <f>IF(AND(OR($E22="shortfall",$E22="damaged-goods"),$C22&lt;&gt;"",$D22&lt;&gt;"",$D22-$C22&gt;30),"Claim raised more than 30 days after delivery.",IF($H22="missing proof","Await line-level proof from the retailer.",IF($H22="Code risk","Check Code coverage, agreement basis, and retailer conditions.",IF($H22="worth challenging","Reconcile this line against prior credits, timing, and support.",""))))</f>
      </c>
      <c r="M22">
        <f>IF($E22="","",IF(AND(OR($E22="shortfall",$E22="damaged-goods"),$C22&lt;&gt;"",$D22&lt;&gt;"",$D22-$C22&gt;30),"High",IF(OR($H22="Code risk",$G22&gt;=5000),"High",IF(OR($H22="missing proof",$G22&gt;=1000),"Medium","Low"))))</f>
      </c>
      <c r="N22" t="inlineStr">
        <is>
          <t/>
        </is>
      </c>
      <c r="O22" t="inlineStr">
        <is>
          <t/>
        </is>
      </c>
    </row>
    <row r="23">
      <c r="A23" t="inlineStr">
        <is>
          <t/>
        </is>
      </c>
      <c r="B23" t="inlineStr" s="4">
        <is>
          <t/>
        </is>
      </c>
      <c r="C23" t="inlineStr" s="4">
        <is>
          <t/>
        </is>
      </c>
      <c r="D23" t="inlineStr" s="4">
        <is>
          <t/>
        </is>
      </c>
      <c r="E23" t="inlineStr">
        <is>
          <t/>
        </is>
      </c>
      <c r="F23" t="inlineStr" s="2">
        <is>
          <t/>
        </is>
      </c>
      <c r="G23" s="3">
        <v>0</v>
      </c>
      <c r="H23">
        <f>IF($E23="","",INDEX('Deduction Type Matrix'!$C$2:$C$17,MATCH($E23,'Deduction Type Matrix'!$A$2:$A$17,0)))</f>
      </c>
      <c r="I23" s="2">
        <f>IF($E23="","",INDEX('Deduction Type Matrix'!$D$2:$D$17,MATCH($E23,'Deduction Type Matrix'!$A$2:$A$17,0)))</f>
      </c>
      <c r="J23" s="2">
        <f>IF($E23="","",INDEX('Deduction Type Matrix'!$E$2:$E$17,MATCH($E23,'Deduction Type Matrix'!$A$2:$A$17,0)))</f>
      </c>
      <c r="K23" s="2">
        <f>IF($E23="","",INDEX('Deduction Type Matrix'!$F$2:$F$17,MATCH($E23,'Deduction Type Matrix'!$A$2:$A$17,0)))</f>
      </c>
      <c r="L23" s="2">
        <f>IF(AND(OR($E23="shortfall",$E23="damaged-goods"),$C23&lt;&gt;"",$D23&lt;&gt;"",$D23-$C23&gt;30),"Claim raised more than 30 days after delivery.",IF($H23="missing proof","Await line-level proof from the retailer.",IF($H23="Code risk","Check Code coverage, agreement basis, and retailer conditions.",IF($H23="worth challenging","Reconcile this line against prior credits, timing, and support.",""))))</f>
      </c>
      <c r="M23">
        <f>IF($E23="","",IF(AND(OR($E23="shortfall",$E23="damaged-goods"),$C23&lt;&gt;"",$D23&lt;&gt;"",$D23-$C23&gt;30),"High",IF(OR($H23="Code risk",$G23&gt;=5000),"High",IF(OR($H23="missing proof",$G23&gt;=1000),"Medium","Low"))))</f>
      </c>
      <c r="N23" t="inlineStr">
        <is>
          <t/>
        </is>
      </c>
      <c r="O23" t="inlineStr">
        <is>
          <t/>
        </is>
      </c>
    </row>
    <row r="24">
      <c r="A24" t="inlineStr">
        <is>
          <t/>
        </is>
      </c>
      <c r="B24" t="inlineStr" s="4">
        <is>
          <t/>
        </is>
      </c>
      <c r="C24" t="inlineStr" s="4">
        <is>
          <t/>
        </is>
      </c>
      <c r="D24" t="inlineStr" s="4">
        <is>
          <t/>
        </is>
      </c>
      <c r="E24" t="inlineStr">
        <is>
          <t/>
        </is>
      </c>
      <c r="F24" t="inlineStr" s="2">
        <is>
          <t/>
        </is>
      </c>
      <c r="G24" s="3">
        <v>0</v>
      </c>
      <c r="H24">
        <f>IF($E24="","",INDEX('Deduction Type Matrix'!$C$2:$C$17,MATCH($E24,'Deduction Type Matrix'!$A$2:$A$17,0)))</f>
      </c>
      <c r="I24" s="2">
        <f>IF($E24="","",INDEX('Deduction Type Matrix'!$D$2:$D$17,MATCH($E24,'Deduction Type Matrix'!$A$2:$A$17,0)))</f>
      </c>
      <c r="J24" s="2">
        <f>IF($E24="","",INDEX('Deduction Type Matrix'!$E$2:$E$17,MATCH($E24,'Deduction Type Matrix'!$A$2:$A$17,0)))</f>
      </c>
      <c r="K24" s="2">
        <f>IF($E24="","",INDEX('Deduction Type Matrix'!$F$2:$F$17,MATCH($E24,'Deduction Type Matrix'!$A$2:$A$17,0)))</f>
      </c>
      <c r="L24" s="2">
        <f>IF(AND(OR($E24="shortfall",$E24="damaged-goods"),$C24&lt;&gt;"",$D24&lt;&gt;"",$D24-$C24&gt;30),"Claim raised more than 30 days after delivery.",IF($H24="missing proof","Await line-level proof from the retailer.",IF($H24="Code risk","Check Code coverage, agreement basis, and retailer conditions.",IF($H24="worth challenging","Reconcile this line against prior credits, timing, and support.",""))))</f>
      </c>
      <c r="M24">
        <f>IF($E24="","",IF(AND(OR($E24="shortfall",$E24="damaged-goods"),$C24&lt;&gt;"",$D24&lt;&gt;"",$D24-$C24&gt;30),"High",IF(OR($H24="Code risk",$G24&gt;=5000),"High",IF(OR($H24="missing proof",$G24&gt;=1000),"Medium","Low"))))</f>
      </c>
      <c r="N24" t="inlineStr">
        <is>
          <t/>
        </is>
      </c>
      <c r="O24" t="inlineStr">
        <is>
          <t/>
        </is>
      </c>
    </row>
    <row r="25">
      <c r="A25" t="inlineStr">
        <is>
          <t/>
        </is>
      </c>
      <c r="B25" t="inlineStr" s="4">
        <is>
          <t/>
        </is>
      </c>
      <c r="C25" t="inlineStr" s="4">
        <is>
          <t/>
        </is>
      </c>
      <c r="D25" t="inlineStr" s="4">
        <is>
          <t/>
        </is>
      </c>
      <c r="E25" t="inlineStr">
        <is>
          <t/>
        </is>
      </c>
      <c r="F25" t="inlineStr" s="2">
        <is>
          <t/>
        </is>
      </c>
      <c r="G25" s="3">
        <v>0</v>
      </c>
      <c r="H25">
        <f>IF($E25="","",INDEX('Deduction Type Matrix'!$C$2:$C$17,MATCH($E25,'Deduction Type Matrix'!$A$2:$A$17,0)))</f>
      </c>
      <c r="I25" s="2">
        <f>IF($E25="","",INDEX('Deduction Type Matrix'!$D$2:$D$17,MATCH($E25,'Deduction Type Matrix'!$A$2:$A$17,0)))</f>
      </c>
      <c r="J25" s="2">
        <f>IF($E25="","",INDEX('Deduction Type Matrix'!$E$2:$E$17,MATCH($E25,'Deduction Type Matrix'!$A$2:$A$17,0)))</f>
      </c>
      <c r="K25" s="2">
        <f>IF($E25="","",INDEX('Deduction Type Matrix'!$F$2:$F$17,MATCH($E25,'Deduction Type Matrix'!$A$2:$A$17,0)))</f>
      </c>
      <c r="L25" s="2">
        <f>IF(AND(OR($E25="shortfall",$E25="damaged-goods"),$C25&lt;&gt;"",$D25&lt;&gt;"",$D25-$C25&gt;30),"Claim raised more than 30 days after delivery.",IF($H25="missing proof","Await line-level proof from the retailer.",IF($H25="Code risk","Check Code coverage, agreement basis, and retailer conditions.",IF($H25="worth challenging","Reconcile this line against prior credits, timing, and support.",""))))</f>
      </c>
      <c r="M25">
        <f>IF($E25="","",IF(AND(OR($E25="shortfall",$E25="damaged-goods"),$C25&lt;&gt;"",$D25&lt;&gt;"",$D25-$C25&gt;30),"High",IF(OR($H25="Code risk",$G25&gt;=5000),"High",IF(OR($H25="missing proof",$G25&gt;=1000),"Medium","Low"))))</f>
      </c>
      <c r="N25" t="inlineStr">
        <is>
          <t/>
        </is>
      </c>
      <c r="O25" t="inlineStr">
        <is>
          <t/>
        </is>
      </c>
    </row>
    <row r="26">
      <c r="A26" t="inlineStr">
        <is>
          <t/>
        </is>
      </c>
      <c r="B26" t="inlineStr" s="4">
        <is>
          <t/>
        </is>
      </c>
      <c r="C26" t="inlineStr" s="4">
        <is>
          <t/>
        </is>
      </c>
      <c r="D26" t="inlineStr" s="4">
        <is>
          <t/>
        </is>
      </c>
      <c r="E26" t="inlineStr">
        <is>
          <t/>
        </is>
      </c>
      <c r="F26" t="inlineStr" s="2">
        <is>
          <t/>
        </is>
      </c>
      <c r="G26" s="3">
        <v>0</v>
      </c>
      <c r="H26">
        <f>IF($E26="","",INDEX('Deduction Type Matrix'!$C$2:$C$17,MATCH($E26,'Deduction Type Matrix'!$A$2:$A$17,0)))</f>
      </c>
      <c r="I26" s="2">
        <f>IF($E26="","",INDEX('Deduction Type Matrix'!$D$2:$D$17,MATCH($E26,'Deduction Type Matrix'!$A$2:$A$17,0)))</f>
      </c>
      <c r="J26" s="2">
        <f>IF($E26="","",INDEX('Deduction Type Matrix'!$E$2:$E$17,MATCH($E26,'Deduction Type Matrix'!$A$2:$A$17,0)))</f>
      </c>
      <c r="K26" s="2">
        <f>IF($E26="","",INDEX('Deduction Type Matrix'!$F$2:$F$17,MATCH($E26,'Deduction Type Matrix'!$A$2:$A$17,0)))</f>
      </c>
      <c r="L26" s="2">
        <f>IF(AND(OR($E26="shortfall",$E26="damaged-goods"),$C26&lt;&gt;"",$D26&lt;&gt;"",$D26-$C26&gt;30),"Claim raised more than 30 days after delivery.",IF($H26="missing proof","Await line-level proof from the retailer.",IF($H26="Code risk","Check Code coverage, agreement basis, and retailer conditions.",IF($H26="worth challenging","Reconcile this line against prior credits, timing, and support.",""))))</f>
      </c>
      <c r="M26">
        <f>IF($E26="","",IF(AND(OR($E26="shortfall",$E26="damaged-goods"),$C26&lt;&gt;"",$D26&lt;&gt;"",$D26-$C26&gt;30),"High",IF(OR($H26="Code risk",$G26&gt;=5000),"High",IF(OR($H26="missing proof",$G26&gt;=1000),"Medium","Low"))))</f>
      </c>
      <c r="N26" t="inlineStr">
        <is>
          <t/>
        </is>
      </c>
      <c r="O26" t="inlineStr">
        <is>
          <t/>
        </is>
      </c>
    </row>
    <row r="27">
      <c r="A27" t="inlineStr">
        <is>
          <t/>
        </is>
      </c>
      <c r="B27" t="inlineStr" s="4">
        <is>
          <t/>
        </is>
      </c>
      <c r="C27" t="inlineStr" s="4">
        <is>
          <t/>
        </is>
      </c>
      <c r="D27" t="inlineStr" s="4">
        <is>
          <t/>
        </is>
      </c>
      <c r="E27" t="inlineStr">
        <is>
          <t/>
        </is>
      </c>
      <c r="F27" t="inlineStr" s="2">
        <is>
          <t/>
        </is>
      </c>
      <c r="G27" s="3">
        <v>0</v>
      </c>
      <c r="H27">
        <f>IF($E27="","",INDEX('Deduction Type Matrix'!$C$2:$C$17,MATCH($E27,'Deduction Type Matrix'!$A$2:$A$17,0)))</f>
      </c>
      <c r="I27" s="2">
        <f>IF($E27="","",INDEX('Deduction Type Matrix'!$D$2:$D$17,MATCH($E27,'Deduction Type Matrix'!$A$2:$A$17,0)))</f>
      </c>
      <c r="J27" s="2">
        <f>IF($E27="","",INDEX('Deduction Type Matrix'!$E$2:$E$17,MATCH($E27,'Deduction Type Matrix'!$A$2:$A$17,0)))</f>
      </c>
      <c r="K27" s="2">
        <f>IF($E27="","",INDEX('Deduction Type Matrix'!$F$2:$F$17,MATCH($E27,'Deduction Type Matrix'!$A$2:$A$17,0)))</f>
      </c>
      <c r="L27" s="2">
        <f>IF(AND(OR($E27="shortfall",$E27="damaged-goods"),$C27&lt;&gt;"",$D27&lt;&gt;"",$D27-$C27&gt;30),"Claim raised more than 30 days after delivery.",IF($H27="missing proof","Await line-level proof from the retailer.",IF($H27="Code risk","Check Code coverage, agreement basis, and retailer conditions.",IF($H27="worth challenging","Reconcile this line against prior credits, timing, and support.",""))))</f>
      </c>
      <c r="M27">
        <f>IF($E27="","",IF(AND(OR($E27="shortfall",$E27="damaged-goods"),$C27&lt;&gt;"",$D27&lt;&gt;"",$D27-$C27&gt;30),"High",IF(OR($H27="Code risk",$G27&gt;=5000),"High",IF(OR($H27="missing proof",$G27&gt;=1000),"Medium","Low"))))</f>
      </c>
      <c r="N27" t="inlineStr">
        <is>
          <t/>
        </is>
      </c>
      <c r="O27" t="inlineStr">
        <is>
          <t/>
        </is>
      </c>
    </row>
    <row r="28">
      <c r="A28" t="inlineStr">
        <is>
          <t/>
        </is>
      </c>
      <c r="B28" t="inlineStr" s="4">
        <is>
          <t/>
        </is>
      </c>
      <c r="C28" t="inlineStr" s="4">
        <is>
          <t/>
        </is>
      </c>
      <c r="D28" t="inlineStr" s="4">
        <is>
          <t/>
        </is>
      </c>
      <c r="E28" t="inlineStr">
        <is>
          <t/>
        </is>
      </c>
      <c r="F28" t="inlineStr" s="2">
        <is>
          <t/>
        </is>
      </c>
      <c r="G28" s="3">
        <v>0</v>
      </c>
      <c r="H28">
        <f>IF($E28="","",INDEX('Deduction Type Matrix'!$C$2:$C$17,MATCH($E28,'Deduction Type Matrix'!$A$2:$A$17,0)))</f>
      </c>
      <c r="I28" s="2">
        <f>IF($E28="","",INDEX('Deduction Type Matrix'!$D$2:$D$17,MATCH($E28,'Deduction Type Matrix'!$A$2:$A$17,0)))</f>
      </c>
      <c r="J28" s="2">
        <f>IF($E28="","",INDEX('Deduction Type Matrix'!$E$2:$E$17,MATCH($E28,'Deduction Type Matrix'!$A$2:$A$17,0)))</f>
      </c>
      <c r="K28" s="2">
        <f>IF($E28="","",INDEX('Deduction Type Matrix'!$F$2:$F$17,MATCH($E28,'Deduction Type Matrix'!$A$2:$A$17,0)))</f>
      </c>
      <c r="L28" s="2">
        <f>IF(AND(OR($E28="shortfall",$E28="damaged-goods"),$C28&lt;&gt;"",$D28&lt;&gt;"",$D28-$C28&gt;30),"Claim raised more than 30 days after delivery.",IF($H28="missing proof","Await line-level proof from the retailer.",IF($H28="Code risk","Check Code coverage, agreement basis, and retailer conditions.",IF($H28="worth challenging","Reconcile this line against prior credits, timing, and support.",""))))</f>
      </c>
      <c r="M28">
        <f>IF($E28="","",IF(AND(OR($E28="shortfall",$E28="damaged-goods"),$C28&lt;&gt;"",$D28&lt;&gt;"",$D28-$C28&gt;30),"High",IF(OR($H28="Code risk",$G28&gt;=5000),"High",IF(OR($H28="missing proof",$G28&gt;=1000),"Medium","Low"))))</f>
      </c>
      <c r="N28" t="inlineStr">
        <is>
          <t/>
        </is>
      </c>
      <c r="O28" t="inlineStr">
        <is>
          <t/>
        </is>
      </c>
    </row>
    <row r="29">
      <c r="A29" t="inlineStr">
        <is>
          <t/>
        </is>
      </c>
      <c r="B29" t="inlineStr" s="4">
        <is>
          <t/>
        </is>
      </c>
      <c r="C29" t="inlineStr" s="4">
        <is>
          <t/>
        </is>
      </c>
      <c r="D29" t="inlineStr" s="4">
        <is>
          <t/>
        </is>
      </c>
      <c r="E29" t="inlineStr">
        <is>
          <t/>
        </is>
      </c>
      <c r="F29" t="inlineStr" s="2">
        <is>
          <t/>
        </is>
      </c>
      <c r="G29" s="3">
        <v>0</v>
      </c>
      <c r="H29">
        <f>IF($E29="","",INDEX('Deduction Type Matrix'!$C$2:$C$17,MATCH($E29,'Deduction Type Matrix'!$A$2:$A$17,0)))</f>
      </c>
      <c r="I29" s="2">
        <f>IF($E29="","",INDEX('Deduction Type Matrix'!$D$2:$D$17,MATCH($E29,'Deduction Type Matrix'!$A$2:$A$17,0)))</f>
      </c>
      <c r="J29" s="2">
        <f>IF($E29="","",INDEX('Deduction Type Matrix'!$E$2:$E$17,MATCH($E29,'Deduction Type Matrix'!$A$2:$A$17,0)))</f>
      </c>
      <c r="K29" s="2">
        <f>IF($E29="","",INDEX('Deduction Type Matrix'!$F$2:$F$17,MATCH($E29,'Deduction Type Matrix'!$A$2:$A$17,0)))</f>
      </c>
      <c r="L29" s="2">
        <f>IF(AND(OR($E29="shortfall",$E29="damaged-goods"),$C29&lt;&gt;"",$D29&lt;&gt;"",$D29-$C29&gt;30),"Claim raised more than 30 days after delivery.",IF($H29="missing proof","Await line-level proof from the retailer.",IF($H29="Code risk","Check Code coverage, agreement basis, and retailer conditions.",IF($H29="worth challenging","Reconcile this line against prior credits, timing, and support.",""))))</f>
      </c>
      <c r="M29">
        <f>IF($E29="","",IF(AND(OR($E29="shortfall",$E29="damaged-goods"),$C29&lt;&gt;"",$D29&lt;&gt;"",$D29-$C29&gt;30),"High",IF(OR($H29="Code risk",$G29&gt;=5000),"High",IF(OR($H29="missing proof",$G29&gt;=1000),"Medium","Low"))))</f>
      </c>
      <c r="N29" t="inlineStr">
        <is>
          <t/>
        </is>
      </c>
      <c r="O29" t="inlineStr">
        <is>
          <t/>
        </is>
      </c>
    </row>
    <row r="30">
      <c r="A30" t="inlineStr">
        <is>
          <t/>
        </is>
      </c>
      <c r="B30" t="inlineStr" s="4">
        <is>
          <t/>
        </is>
      </c>
      <c r="C30" t="inlineStr" s="4">
        <is>
          <t/>
        </is>
      </c>
      <c r="D30" t="inlineStr" s="4">
        <is>
          <t/>
        </is>
      </c>
      <c r="E30" t="inlineStr">
        <is>
          <t/>
        </is>
      </c>
      <c r="F30" t="inlineStr" s="2">
        <is>
          <t/>
        </is>
      </c>
      <c r="G30" s="3">
        <v>0</v>
      </c>
      <c r="H30">
        <f>IF($E30="","",INDEX('Deduction Type Matrix'!$C$2:$C$17,MATCH($E30,'Deduction Type Matrix'!$A$2:$A$17,0)))</f>
      </c>
      <c r="I30" s="2">
        <f>IF($E30="","",INDEX('Deduction Type Matrix'!$D$2:$D$17,MATCH($E30,'Deduction Type Matrix'!$A$2:$A$17,0)))</f>
      </c>
      <c r="J30" s="2">
        <f>IF($E30="","",INDEX('Deduction Type Matrix'!$E$2:$E$17,MATCH($E30,'Deduction Type Matrix'!$A$2:$A$17,0)))</f>
      </c>
      <c r="K30" s="2">
        <f>IF($E30="","",INDEX('Deduction Type Matrix'!$F$2:$F$17,MATCH($E30,'Deduction Type Matrix'!$A$2:$A$17,0)))</f>
      </c>
      <c r="L30" s="2">
        <f>IF(AND(OR($E30="shortfall",$E30="damaged-goods"),$C30&lt;&gt;"",$D30&lt;&gt;"",$D30-$C30&gt;30),"Claim raised more than 30 days after delivery.",IF($H30="missing proof","Await line-level proof from the retailer.",IF($H30="Code risk","Check Code coverage, agreement basis, and retailer conditions.",IF($H30="worth challenging","Reconcile this line against prior credits, timing, and support.",""))))</f>
      </c>
      <c r="M30">
        <f>IF($E30="","",IF(AND(OR($E30="shortfall",$E30="damaged-goods"),$C30&lt;&gt;"",$D30&lt;&gt;"",$D30-$C30&gt;30),"High",IF(OR($H30="Code risk",$G30&gt;=5000),"High",IF(OR($H30="missing proof",$G30&gt;=1000),"Medium","Low"))))</f>
      </c>
      <c r="N30" t="inlineStr">
        <is>
          <t/>
        </is>
      </c>
      <c r="O30" t="inlineStr">
        <is>
          <t/>
        </is>
      </c>
    </row>
    <row r="31">
      <c r="A31" t="inlineStr">
        <is>
          <t/>
        </is>
      </c>
      <c r="B31" t="inlineStr" s="4">
        <is>
          <t/>
        </is>
      </c>
      <c r="C31" t="inlineStr" s="4">
        <is>
          <t/>
        </is>
      </c>
      <c r="D31" t="inlineStr" s="4">
        <is>
          <t/>
        </is>
      </c>
      <c r="E31" t="inlineStr">
        <is>
          <t/>
        </is>
      </c>
      <c r="F31" t="inlineStr" s="2">
        <is>
          <t/>
        </is>
      </c>
      <c r="G31" s="3">
        <v>0</v>
      </c>
      <c r="H31">
        <f>IF($E31="","",INDEX('Deduction Type Matrix'!$C$2:$C$17,MATCH($E31,'Deduction Type Matrix'!$A$2:$A$17,0)))</f>
      </c>
      <c r="I31" s="2">
        <f>IF($E31="","",INDEX('Deduction Type Matrix'!$D$2:$D$17,MATCH($E31,'Deduction Type Matrix'!$A$2:$A$17,0)))</f>
      </c>
      <c r="J31" s="2">
        <f>IF($E31="","",INDEX('Deduction Type Matrix'!$E$2:$E$17,MATCH($E31,'Deduction Type Matrix'!$A$2:$A$17,0)))</f>
      </c>
      <c r="K31" s="2">
        <f>IF($E31="","",INDEX('Deduction Type Matrix'!$F$2:$F$17,MATCH($E31,'Deduction Type Matrix'!$A$2:$A$17,0)))</f>
      </c>
      <c r="L31" s="2">
        <f>IF(AND(OR($E31="shortfall",$E31="damaged-goods"),$C31&lt;&gt;"",$D31&lt;&gt;"",$D31-$C31&gt;30),"Claim raised more than 30 days after delivery.",IF($H31="missing proof","Await line-level proof from the retailer.",IF($H31="Code risk","Check Code coverage, agreement basis, and retailer conditions.",IF($H31="worth challenging","Reconcile this line against prior credits, timing, and support.",""))))</f>
      </c>
      <c r="M31">
        <f>IF($E31="","",IF(AND(OR($E31="shortfall",$E31="damaged-goods"),$C31&lt;&gt;"",$D31&lt;&gt;"",$D31-$C31&gt;30),"High",IF(OR($H31="Code risk",$G31&gt;=5000),"High",IF(OR($H31="missing proof",$G31&gt;=1000),"Medium","Low"))))</f>
      </c>
      <c r="N31" t="inlineStr">
        <is>
          <t/>
        </is>
      </c>
      <c r="O31" t="inlineStr">
        <is>
          <t/>
        </is>
      </c>
    </row>
    <row r="32">
      <c r="A32" t="inlineStr">
        <is>
          <t/>
        </is>
      </c>
      <c r="B32" t="inlineStr" s="4">
        <is>
          <t/>
        </is>
      </c>
      <c r="C32" t="inlineStr" s="4">
        <is>
          <t/>
        </is>
      </c>
      <c r="D32" t="inlineStr" s="4">
        <is>
          <t/>
        </is>
      </c>
      <c r="E32" t="inlineStr">
        <is>
          <t/>
        </is>
      </c>
      <c r="F32" t="inlineStr" s="2">
        <is>
          <t/>
        </is>
      </c>
      <c r="G32" s="3">
        <v>0</v>
      </c>
      <c r="H32">
        <f>IF($E32="","",INDEX('Deduction Type Matrix'!$C$2:$C$17,MATCH($E32,'Deduction Type Matrix'!$A$2:$A$17,0)))</f>
      </c>
      <c r="I32" s="2">
        <f>IF($E32="","",INDEX('Deduction Type Matrix'!$D$2:$D$17,MATCH($E32,'Deduction Type Matrix'!$A$2:$A$17,0)))</f>
      </c>
      <c r="J32" s="2">
        <f>IF($E32="","",INDEX('Deduction Type Matrix'!$E$2:$E$17,MATCH($E32,'Deduction Type Matrix'!$A$2:$A$17,0)))</f>
      </c>
      <c r="K32" s="2">
        <f>IF($E32="","",INDEX('Deduction Type Matrix'!$F$2:$F$17,MATCH($E32,'Deduction Type Matrix'!$A$2:$A$17,0)))</f>
      </c>
      <c r="L32" s="2">
        <f>IF(AND(OR($E32="shortfall",$E32="damaged-goods"),$C32&lt;&gt;"",$D32&lt;&gt;"",$D32-$C32&gt;30),"Claim raised more than 30 days after delivery.",IF($H32="missing proof","Await line-level proof from the retailer.",IF($H32="Code risk","Check Code coverage, agreement basis, and retailer conditions.",IF($H32="worth challenging","Reconcile this line against prior credits, timing, and support.",""))))</f>
      </c>
      <c r="M32">
        <f>IF($E32="","",IF(AND(OR($E32="shortfall",$E32="damaged-goods"),$C32&lt;&gt;"",$D32&lt;&gt;"",$D32-$C32&gt;30),"High",IF(OR($H32="Code risk",$G32&gt;=5000),"High",IF(OR($H32="missing proof",$G32&gt;=1000),"Medium","Low"))))</f>
      </c>
      <c r="N32" t="inlineStr">
        <is>
          <t/>
        </is>
      </c>
      <c r="O32" t="inlineStr">
        <is>
          <t/>
        </is>
      </c>
    </row>
    <row r="33">
      <c r="A33" t="inlineStr">
        <is>
          <t/>
        </is>
      </c>
      <c r="B33" t="inlineStr" s="4">
        <is>
          <t/>
        </is>
      </c>
      <c r="C33" t="inlineStr" s="4">
        <is>
          <t/>
        </is>
      </c>
      <c r="D33" t="inlineStr" s="4">
        <is>
          <t/>
        </is>
      </c>
      <c r="E33" t="inlineStr">
        <is>
          <t/>
        </is>
      </c>
      <c r="F33" t="inlineStr" s="2">
        <is>
          <t/>
        </is>
      </c>
      <c r="G33" s="3">
        <v>0</v>
      </c>
      <c r="H33">
        <f>IF($E33="","",INDEX('Deduction Type Matrix'!$C$2:$C$17,MATCH($E33,'Deduction Type Matrix'!$A$2:$A$17,0)))</f>
      </c>
      <c r="I33" s="2">
        <f>IF($E33="","",INDEX('Deduction Type Matrix'!$D$2:$D$17,MATCH($E33,'Deduction Type Matrix'!$A$2:$A$17,0)))</f>
      </c>
      <c r="J33" s="2">
        <f>IF($E33="","",INDEX('Deduction Type Matrix'!$E$2:$E$17,MATCH($E33,'Deduction Type Matrix'!$A$2:$A$17,0)))</f>
      </c>
      <c r="K33" s="2">
        <f>IF($E33="","",INDEX('Deduction Type Matrix'!$F$2:$F$17,MATCH($E33,'Deduction Type Matrix'!$A$2:$A$17,0)))</f>
      </c>
      <c r="L33" s="2">
        <f>IF(AND(OR($E33="shortfall",$E33="damaged-goods"),$C33&lt;&gt;"",$D33&lt;&gt;"",$D33-$C33&gt;30),"Claim raised more than 30 days after delivery.",IF($H33="missing proof","Await line-level proof from the retailer.",IF($H33="Code risk","Check Code coverage, agreement basis, and retailer conditions.",IF($H33="worth challenging","Reconcile this line against prior credits, timing, and support.",""))))</f>
      </c>
      <c r="M33">
        <f>IF($E33="","",IF(AND(OR($E33="shortfall",$E33="damaged-goods"),$C33&lt;&gt;"",$D33&lt;&gt;"",$D33-$C33&gt;30),"High",IF(OR($H33="Code risk",$G33&gt;=5000),"High",IF(OR($H33="missing proof",$G33&gt;=1000),"Medium","Low"))))</f>
      </c>
      <c r="N33" t="inlineStr">
        <is>
          <t/>
        </is>
      </c>
      <c r="O33" t="inlineStr">
        <is>
          <t/>
        </is>
      </c>
    </row>
    <row r="34">
      <c r="A34" t="inlineStr">
        <is>
          <t/>
        </is>
      </c>
      <c r="B34" t="inlineStr" s="4">
        <is>
          <t/>
        </is>
      </c>
      <c r="C34" t="inlineStr" s="4">
        <is>
          <t/>
        </is>
      </c>
      <c r="D34" t="inlineStr" s="4">
        <is>
          <t/>
        </is>
      </c>
      <c r="E34" t="inlineStr">
        <is>
          <t/>
        </is>
      </c>
      <c r="F34" t="inlineStr" s="2">
        <is>
          <t/>
        </is>
      </c>
      <c r="G34" s="3">
        <v>0</v>
      </c>
      <c r="H34">
        <f>IF($E34="","",INDEX('Deduction Type Matrix'!$C$2:$C$17,MATCH($E34,'Deduction Type Matrix'!$A$2:$A$17,0)))</f>
      </c>
      <c r="I34" s="2">
        <f>IF($E34="","",INDEX('Deduction Type Matrix'!$D$2:$D$17,MATCH($E34,'Deduction Type Matrix'!$A$2:$A$17,0)))</f>
      </c>
      <c r="J34" s="2">
        <f>IF($E34="","",INDEX('Deduction Type Matrix'!$E$2:$E$17,MATCH($E34,'Deduction Type Matrix'!$A$2:$A$17,0)))</f>
      </c>
      <c r="K34" s="2">
        <f>IF($E34="","",INDEX('Deduction Type Matrix'!$F$2:$F$17,MATCH($E34,'Deduction Type Matrix'!$A$2:$A$17,0)))</f>
      </c>
      <c r="L34" s="2">
        <f>IF(AND(OR($E34="shortfall",$E34="damaged-goods"),$C34&lt;&gt;"",$D34&lt;&gt;"",$D34-$C34&gt;30),"Claim raised more than 30 days after delivery.",IF($H34="missing proof","Await line-level proof from the retailer.",IF($H34="Code risk","Check Code coverage, agreement basis, and retailer conditions.",IF($H34="worth challenging","Reconcile this line against prior credits, timing, and support.",""))))</f>
      </c>
      <c r="M34">
        <f>IF($E34="","",IF(AND(OR($E34="shortfall",$E34="damaged-goods"),$C34&lt;&gt;"",$D34&lt;&gt;"",$D34-$C34&gt;30),"High",IF(OR($H34="Code risk",$G34&gt;=5000),"High",IF(OR($H34="missing proof",$G34&gt;=1000),"Medium","Low"))))</f>
      </c>
      <c r="N34" t="inlineStr">
        <is>
          <t/>
        </is>
      </c>
      <c r="O34" t="inlineStr">
        <is>
          <t/>
        </is>
      </c>
    </row>
    <row r="35">
      <c r="A35" t="inlineStr">
        <is>
          <t/>
        </is>
      </c>
      <c r="B35" t="inlineStr" s="4">
        <is>
          <t/>
        </is>
      </c>
      <c r="C35" t="inlineStr" s="4">
        <is>
          <t/>
        </is>
      </c>
      <c r="D35" t="inlineStr" s="4">
        <is>
          <t/>
        </is>
      </c>
      <c r="E35" t="inlineStr">
        <is>
          <t/>
        </is>
      </c>
      <c r="F35" t="inlineStr" s="2">
        <is>
          <t/>
        </is>
      </c>
      <c r="G35" s="3">
        <v>0</v>
      </c>
      <c r="H35">
        <f>IF($E35="","",INDEX('Deduction Type Matrix'!$C$2:$C$17,MATCH($E35,'Deduction Type Matrix'!$A$2:$A$17,0)))</f>
      </c>
      <c r="I35" s="2">
        <f>IF($E35="","",INDEX('Deduction Type Matrix'!$D$2:$D$17,MATCH($E35,'Deduction Type Matrix'!$A$2:$A$17,0)))</f>
      </c>
      <c r="J35" s="2">
        <f>IF($E35="","",INDEX('Deduction Type Matrix'!$E$2:$E$17,MATCH($E35,'Deduction Type Matrix'!$A$2:$A$17,0)))</f>
      </c>
      <c r="K35" s="2">
        <f>IF($E35="","",INDEX('Deduction Type Matrix'!$F$2:$F$17,MATCH($E35,'Deduction Type Matrix'!$A$2:$A$17,0)))</f>
      </c>
      <c r="L35" s="2">
        <f>IF(AND(OR($E35="shortfall",$E35="damaged-goods"),$C35&lt;&gt;"",$D35&lt;&gt;"",$D35-$C35&gt;30),"Claim raised more than 30 days after delivery.",IF($H35="missing proof","Await line-level proof from the retailer.",IF($H35="Code risk","Check Code coverage, agreement basis, and retailer conditions.",IF($H35="worth challenging","Reconcile this line against prior credits, timing, and support.",""))))</f>
      </c>
      <c r="M35">
        <f>IF($E35="","",IF(AND(OR($E35="shortfall",$E35="damaged-goods"),$C35&lt;&gt;"",$D35&lt;&gt;"",$D35-$C35&gt;30),"High",IF(OR($H35="Code risk",$G35&gt;=5000),"High",IF(OR($H35="missing proof",$G35&gt;=1000),"Medium","Low"))))</f>
      </c>
      <c r="N35" t="inlineStr">
        <is>
          <t/>
        </is>
      </c>
      <c r="O35" t="inlineStr">
        <is>
          <t/>
        </is>
      </c>
    </row>
    <row r="36">
      <c r="A36" t="inlineStr">
        <is>
          <t/>
        </is>
      </c>
      <c r="B36" t="inlineStr" s="4">
        <is>
          <t/>
        </is>
      </c>
      <c r="C36" t="inlineStr" s="4">
        <is>
          <t/>
        </is>
      </c>
      <c r="D36" t="inlineStr" s="4">
        <is>
          <t/>
        </is>
      </c>
      <c r="E36" t="inlineStr">
        <is>
          <t/>
        </is>
      </c>
      <c r="F36" t="inlineStr" s="2">
        <is>
          <t/>
        </is>
      </c>
      <c r="G36" s="3">
        <v>0</v>
      </c>
      <c r="H36">
        <f>IF($E36="","",INDEX('Deduction Type Matrix'!$C$2:$C$17,MATCH($E36,'Deduction Type Matrix'!$A$2:$A$17,0)))</f>
      </c>
      <c r="I36" s="2">
        <f>IF($E36="","",INDEX('Deduction Type Matrix'!$D$2:$D$17,MATCH($E36,'Deduction Type Matrix'!$A$2:$A$17,0)))</f>
      </c>
      <c r="J36" s="2">
        <f>IF($E36="","",INDEX('Deduction Type Matrix'!$E$2:$E$17,MATCH($E36,'Deduction Type Matrix'!$A$2:$A$17,0)))</f>
      </c>
      <c r="K36" s="2">
        <f>IF($E36="","",INDEX('Deduction Type Matrix'!$F$2:$F$17,MATCH($E36,'Deduction Type Matrix'!$A$2:$A$17,0)))</f>
      </c>
      <c r="L36" s="2">
        <f>IF(AND(OR($E36="shortfall",$E36="damaged-goods"),$C36&lt;&gt;"",$D36&lt;&gt;"",$D36-$C36&gt;30),"Claim raised more than 30 days after delivery.",IF($H36="missing proof","Await line-level proof from the retailer.",IF($H36="Code risk","Check Code coverage, agreement basis, and retailer conditions.",IF($H36="worth challenging","Reconcile this line against prior credits, timing, and support.",""))))</f>
      </c>
      <c r="M36">
        <f>IF($E36="","",IF(AND(OR($E36="shortfall",$E36="damaged-goods"),$C36&lt;&gt;"",$D36&lt;&gt;"",$D36-$C36&gt;30),"High",IF(OR($H36="Code risk",$G36&gt;=5000),"High",IF(OR($H36="missing proof",$G36&gt;=1000),"Medium","Low"))))</f>
      </c>
      <c r="N36" t="inlineStr">
        <is>
          <t/>
        </is>
      </c>
      <c r="O36" t="inlineStr">
        <is>
          <t/>
        </is>
      </c>
    </row>
    <row r="37">
      <c r="A37" t="inlineStr">
        <is>
          <t/>
        </is>
      </c>
      <c r="B37" t="inlineStr" s="4">
        <is>
          <t/>
        </is>
      </c>
      <c r="C37" t="inlineStr" s="4">
        <is>
          <t/>
        </is>
      </c>
      <c r="D37" t="inlineStr" s="4">
        <is>
          <t/>
        </is>
      </c>
      <c r="E37" t="inlineStr">
        <is>
          <t/>
        </is>
      </c>
      <c r="F37" t="inlineStr" s="2">
        <is>
          <t/>
        </is>
      </c>
      <c r="G37" s="3">
        <v>0</v>
      </c>
      <c r="H37">
        <f>IF($E37="","",INDEX('Deduction Type Matrix'!$C$2:$C$17,MATCH($E37,'Deduction Type Matrix'!$A$2:$A$17,0)))</f>
      </c>
      <c r="I37" s="2">
        <f>IF($E37="","",INDEX('Deduction Type Matrix'!$D$2:$D$17,MATCH($E37,'Deduction Type Matrix'!$A$2:$A$17,0)))</f>
      </c>
      <c r="J37" s="2">
        <f>IF($E37="","",INDEX('Deduction Type Matrix'!$E$2:$E$17,MATCH($E37,'Deduction Type Matrix'!$A$2:$A$17,0)))</f>
      </c>
      <c r="K37" s="2">
        <f>IF($E37="","",INDEX('Deduction Type Matrix'!$F$2:$F$17,MATCH($E37,'Deduction Type Matrix'!$A$2:$A$17,0)))</f>
      </c>
      <c r="L37" s="2">
        <f>IF(AND(OR($E37="shortfall",$E37="damaged-goods"),$C37&lt;&gt;"",$D37&lt;&gt;"",$D37-$C37&gt;30),"Claim raised more than 30 days after delivery.",IF($H37="missing proof","Await line-level proof from the retailer.",IF($H37="Code risk","Check Code coverage, agreement basis, and retailer conditions.",IF($H37="worth challenging","Reconcile this line against prior credits, timing, and support.",""))))</f>
      </c>
      <c r="M37">
        <f>IF($E37="","",IF(AND(OR($E37="shortfall",$E37="damaged-goods"),$C37&lt;&gt;"",$D37&lt;&gt;"",$D37-$C37&gt;30),"High",IF(OR($H37="Code risk",$G37&gt;=5000),"High",IF(OR($H37="missing proof",$G37&gt;=1000),"Medium","Low"))))</f>
      </c>
      <c r="N37" t="inlineStr">
        <is>
          <t/>
        </is>
      </c>
      <c r="O37" t="inlineStr">
        <is>
          <t/>
        </is>
      </c>
    </row>
    <row r="38">
      <c r="A38" t="inlineStr">
        <is>
          <t/>
        </is>
      </c>
      <c r="B38" t="inlineStr" s="4">
        <is>
          <t/>
        </is>
      </c>
      <c r="C38" t="inlineStr" s="4">
        <is>
          <t/>
        </is>
      </c>
      <c r="D38" t="inlineStr" s="4">
        <is>
          <t/>
        </is>
      </c>
      <c r="E38" t="inlineStr">
        <is>
          <t/>
        </is>
      </c>
      <c r="F38" t="inlineStr" s="2">
        <is>
          <t/>
        </is>
      </c>
      <c r="G38" s="3">
        <v>0</v>
      </c>
      <c r="H38">
        <f>IF($E38="","",INDEX('Deduction Type Matrix'!$C$2:$C$17,MATCH($E38,'Deduction Type Matrix'!$A$2:$A$17,0)))</f>
      </c>
      <c r="I38" s="2">
        <f>IF($E38="","",INDEX('Deduction Type Matrix'!$D$2:$D$17,MATCH($E38,'Deduction Type Matrix'!$A$2:$A$17,0)))</f>
      </c>
      <c r="J38" s="2">
        <f>IF($E38="","",INDEX('Deduction Type Matrix'!$E$2:$E$17,MATCH($E38,'Deduction Type Matrix'!$A$2:$A$17,0)))</f>
      </c>
      <c r="K38" s="2">
        <f>IF($E38="","",INDEX('Deduction Type Matrix'!$F$2:$F$17,MATCH($E38,'Deduction Type Matrix'!$A$2:$A$17,0)))</f>
      </c>
      <c r="L38" s="2">
        <f>IF(AND(OR($E38="shortfall",$E38="damaged-goods"),$C38&lt;&gt;"",$D38&lt;&gt;"",$D38-$C38&gt;30),"Claim raised more than 30 days after delivery.",IF($H38="missing proof","Await line-level proof from the retailer.",IF($H38="Code risk","Check Code coverage, agreement basis, and retailer conditions.",IF($H38="worth challenging","Reconcile this line against prior credits, timing, and support.",""))))</f>
      </c>
      <c r="M38">
        <f>IF($E38="","",IF(AND(OR($E38="shortfall",$E38="damaged-goods"),$C38&lt;&gt;"",$D38&lt;&gt;"",$D38-$C38&gt;30),"High",IF(OR($H38="Code risk",$G38&gt;=5000),"High",IF(OR($H38="missing proof",$G38&gt;=1000),"Medium","Low"))))</f>
      </c>
      <c r="N38" t="inlineStr">
        <is>
          <t/>
        </is>
      </c>
      <c r="O38" t="inlineStr">
        <is>
          <t/>
        </is>
      </c>
    </row>
    <row r="39">
      <c r="A39" t="inlineStr">
        <is>
          <t/>
        </is>
      </c>
      <c r="B39" t="inlineStr" s="4">
        <is>
          <t/>
        </is>
      </c>
      <c r="C39" t="inlineStr" s="4">
        <is>
          <t/>
        </is>
      </c>
      <c r="D39" t="inlineStr" s="4">
        <is>
          <t/>
        </is>
      </c>
      <c r="E39" t="inlineStr">
        <is>
          <t/>
        </is>
      </c>
      <c r="F39" t="inlineStr" s="2">
        <is>
          <t/>
        </is>
      </c>
      <c r="G39" s="3">
        <v>0</v>
      </c>
      <c r="H39">
        <f>IF($E39="","",INDEX('Deduction Type Matrix'!$C$2:$C$17,MATCH($E39,'Deduction Type Matrix'!$A$2:$A$17,0)))</f>
      </c>
      <c r="I39" s="2">
        <f>IF($E39="","",INDEX('Deduction Type Matrix'!$D$2:$D$17,MATCH($E39,'Deduction Type Matrix'!$A$2:$A$17,0)))</f>
      </c>
      <c r="J39" s="2">
        <f>IF($E39="","",INDEX('Deduction Type Matrix'!$E$2:$E$17,MATCH($E39,'Deduction Type Matrix'!$A$2:$A$17,0)))</f>
      </c>
      <c r="K39" s="2">
        <f>IF($E39="","",INDEX('Deduction Type Matrix'!$F$2:$F$17,MATCH($E39,'Deduction Type Matrix'!$A$2:$A$17,0)))</f>
      </c>
      <c r="L39" s="2">
        <f>IF(AND(OR($E39="shortfall",$E39="damaged-goods"),$C39&lt;&gt;"",$D39&lt;&gt;"",$D39-$C39&gt;30),"Claim raised more than 30 days after delivery.",IF($H39="missing proof","Await line-level proof from the retailer.",IF($H39="Code risk","Check Code coverage, agreement basis, and retailer conditions.",IF($H39="worth challenging","Reconcile this line against prior credits, timing, and support.",""))))</f>
      </c>
      <c r="M39">
        <f>IF($E39="","",IF(AND(OR($E39="shortfall",$E39="damaged-goods"),$C39&lt;&gt;"",$D39&lt;&gt;"",$D39-$C39&gt;30),"High",IF(OR($H39="Code risk",$G39&gt;=5000),"High",IF(OR($H39="missing proof",$G39&gt;=1000),"Medium","Low"))))</f>
      </c>
      <c r="N39" t="inlineStr">
        <is>
          <t/>
        </is>
      </c>
      <c r="O39" t="inlineStr">
        <is>
          <t/>
        </is>
      </c>
    </row>
    <row r="40">
      <c r="A40" t="inlineStr">
        <is>
          <t/>
        </is>
      </c>
      <c r="B40" t="inlineStr" s="4">
        <is>
          <t/>
        </is>
      </c>
      <c r="C40" t="inlineStr" s="4">
        <is>
          <t/>
        </is>
      </c>
      <c r="D40" t="inlineStr" s="4">
        <is>
          <t/>
        </is>
      </c>
      <c r="E40" t="inlineStr">
        <is>
          <t/>
        </is>
      </c>
      <c r="F40" t="inlineStr" s="2">
        <is>
          <t/>
        </is>
      </c>
      <c r="G40" s="3">
        <v>0</v>
      </c>
      <c r="H40">
        <f>IF($E40="","",INDEX('Deduction Type Matrix'!$C$2:$C$17,MATCH($E40,'Deduction Type Matrix'!$A$2:$A$17,0)))</f>
      </c>
      <c r="I40" s="2">
        <f>IF($E40="","",INDEX('Deduction Type Matrix'!$D$2:$D$17,MATCH($E40,'Deduction Type Matrix'!$A$2:$A$17,0)))</f>
      </c>
      <c r="J40" s="2">
        <f>IF($E40="","",INDEX('Deduction Type Matrix'!$E$2:$E$17,MATCH($E40,'Deduction Type Matrix'!$A$2:$A$17,0)))</f>
      </c>
      <c r="K40" s="2">
        <f>IF($E40="","",INDEX('Deduction Type Matrix'!$F$2:$F$17,MATCH($E40,'Deduction Type Matrix'!$A$2:$A$17,0)))</f>
      </c>
      <c r="L40" s="2">
        <f>IF(AND(OR($E40="shortfall",$E40="damaged-goods"),$C40&lt;&gt;"",$D40&lt;&gt;"",$D40-$C40&gt;30),"Claim raised more than 30 days after delivery.",IF($H40="missing proof","Await line-level proof from the retailer.",IF($H40="Code risk","Check Code coverage, agreement basis, and retailer conditions.",IF($H40="worth challenging","Reconcile this line against prior credits, timing, and support.",""))))</f>
      </c>
      <c r="M40">
        <f>IF($E40="","",IF(AND(OR($E40="shortfall",$E40="damaged-goods"),$C40&lt;&gt;"",$D40&lt;&gt;"",$D40-$C40&gt;30),"High",IF(OR($H40="Code risk",$G40&gt;=5000),"High",IF(OR($H40="missing proof",$G40&gt;=1000),"Medium","Low"))))</f>
      </c>
      <c r="N40" t="inlineStr">
        <is>
          <t/>
        </is>
      </c>
      <c r="O40" t="inlineStr">
        <is>
          <t/>
        </is>
      </c>
    </row>
    <row r="41">
      <c r="A41" t="inlineStr">
        <is>
          <t/>
        </is>
      </c>
      <c r="B41" t="inlineStr" s="4">
        <is>
          <t/>
        </is>
      </c>
      <c r="C41" t="inlineStr" s="4">
        <is>
          <t/>
        </is>
      </c>
      <c r="D41" t="inlineStr" s="4">
        <is>
          <t/>
        </is>
      </c>
      <c r="E41" t="inlineStr">
        <is>
          <t/>
        </is>
      </c>
      <c r="F41" t="inlineStr" s="2">
        <is>
          <t/>
        </is>
      </c>
      <c r="G41" s="3">
        <v>0</v>
      </c>
      <c r="H41">
        <f>IF($E41="","",INDEX('Deduction Type Matrix'!$C$2:$C$17,MATCH($E41,'Deduction Type Matrix'!$A$2:$A$17,0)))</f>
      </c>
      <c r="I41" s="2">
        <f>IF($E41="","",INDEX('Deduction Type Matrix'!$D$2:$D$17,MATCH($E41,'Deduction Type Matrix'!$A$2:$A$17,0)))</f>
      </c>
      <c r="J41" s="2">
        <f>IF($E41="","",INDEX('Deduction Type Matrix'!$E$2:$E$17,MATCH($E41,'Deduction Type Matrix'!$A$2:$A$17,0)))</f>
      </c>
      <c r="K41" s="2">
        <f>IF($E41="","",INDEX('Deduction Type Matrix'!$F$2:$F$17,MATCH($E41,'Deduction Type Matrix'!$A$2:$A$17,0)))</f>
      </c>
      <c r="L41" s="2">
        <f>IF(AND(OR($E41="shortfall",$E41="damaged-goods"),$C41&lt;&gt;"",$D41&lt;&gt;"",$D41-$C41&gt;30),"Claim raised more than 30 days after delivery.",IF($H41="missing proof","Await line-level proof from the retailer.",IF($H41="Code risk","Check Code coverage, agreement basis, and retailer conditions.",IF($H41="worth challenging","Reconcile this line against prior credits, timing, and support.",""))))</f>
      </c>
      <c r="M41">
        <f>IF($E41="","",IF(AND(OR($E41="shortfall",$E41="damaged-goods"),$C41&lt;&gt;"",$D41&lt;&gt;"",$D41-$C41&gt;30),"High",IF(OR($H41="Code risk",$G41&gt;=5000),"High",IF(OR($H41="missing proof",$G41&gt;=1000),"Medium","Low"))))</f>
      </c>
      <c r="N41" t="inlineStr">
        <is>
          <t/>
        </is>
      </c>
      <c r="O41" t="inlineStr">
        <is>
          <t/>
        </is>
      </c>
    </row>
  </sheetData>
</worksheet>
</file>

<file path=xl/worksheets/sheet3.xml><?xml version="1.0" encoding="utf-8"?>
<worksheet xmlns="http://schemas.openxmlformats.org/spreadsheetml/2006/main">
  <dimension ref="A1:J17"/>
  <sheetViews>
    <sheetView workbookViewId="0">
      <pane ySplit="1" topLeftCell="A2" activePane="bottomLeft" state="frozen"/>
    </sheetView>
  </sheetViews>
  <cols>
    <col min="1" max="1" width="22" customWidth="1"/>
    <col min="2" max="2" width="24" customWidth="1"/>
    <col min="3" max="3" width="18" customWidth="1"/>
    <col min="4" max="7" width="42" customWidth="1"/>
    <col min="8" max="8" width="22" customWidth="1"/>
    <col min="9" max="10" width="16" customWidth="1"/>
  </cols>
  <sheetData>
    <row r="1">
      <c r="A1" t="inlineStr" s="1">
        <is>
          <t>id</t>
        </is>
      </c>
      <c r="B1" t="inlineStr" s="1">
        <is>
          <t>label</t>
        </is>
      </c>
      <c r="C1" t="inlineStr" s="1">
        <is>
          <t>default verdict</t>
        </is>
      </c>
      <c r="D1" t="inlineStr" s="1">
        <is>
          <t>short evidence</t>
        </is>
      </c>
      <c r="E1" t="inlineStr" s="1">
        <is>
          <t>Code check</t>
        </is>
      </c>
      <c r="F1" t="inlineStr" s="1">
        <is>
          <t>neutral query</t>
        </is>
      </c>
      <c r="G1" t="inlineStr" s="1">
        <is>
          <t>deadline helper</t>
        </is>
      </c>
      <c r="H1" t="inlineStr" s="1">
        <is>
          <t>family</t>
        </is>
      </c>
      <c r="I1" t="inlineStr" s="1">
        <is>
          <t>deadline rule</t>
        </is>
      </c>
      <c r="J1" t="inlineStr" s="1">
        <is>
          <t>deadline days</t>
        </is>
      </c>
    </row>
    <row r="2">
      <c r="A2" t="inlineStr">
        <is>
          <t>difot-penalty</t>
        </is>
      </c>
      <c r="B2" t="inlineStr">
        <is>
          <t>DIFOT penalty</t>
        </is>
      </c>
      <c r="C2" t="inlineStr">
        <is>
          <t>missing proof</t>
        </is>
      </c>
      <c r="D2" t="inlineStr" s="2">
        <is>
          <t>PO, ASN, booked window, POD, dock timestamp, retailer scorecard.</t>
        </is>
      </c>
      <c r="E2" t="inlineStr" s="2">
        <is>
          <t>Usually an evidence issue, not a Code issue.</t>
        </is>
      </c>
      <c r="F2" t="inlineStr" s="2">
        <is>
          <t>Please provide the DIFOT scorecard line, booked-window basis, dock timestamp, and calculation used for this deduction.</t>
        </is>
      </c>
      <c r="G2" t="inlineStr" s="2">
        <is>
          <t>Check the retailer portal claims article and your supply agreement for the dispute window.</t>
        </is>
      </c>
      <c r="H2" t="inlineStr">
        <is>
          <t>DIFOT / OTIF</t>
        </is>
      </c>
      <c r="I2" t="inlineStr">
        <is>
          <t/>
        </is>
      </c>
      <c r="J2" t="inlineStr">
        <is>
          <t/>
        </is>
      </c>
    </row>
    <row r="3">
      <c r="A3" t="inlineStr">
        <is>
          <t>otif-penalty</t>
        </is>
      </c>
      <c r="B3" t="inlineStr">
        <is>
          <t>OTIF penalty</t>
        </is>
      </c>
      <c r="C3" t="inlineStr">
        <is>
          <t>missing proof</t>
        </is>
      </c>
      <c r="D3" t="inlineStr" s="2">
        <is>
          <t>PO, ASN, booked window, POD, dock timestamp, retailer scorecard.</t>
        </is>
      </c>
      <c r="E3" t="inlineStr" s="2">
        <is>
          <t>Usually an evidence issue, not a Code issue.</t>
        </is>
      </c>
      <c r="F3" t="inlineStr" s="2">
        <is>
          <t>Please provide the OTIF scorecard line, booked-window basis, dock timestamp, and calculation used for this deduction.</t>
        </is>
      </c>
      <c r="G3" t="inlineStr" s="2">
        <is>
          <t>Check the retailer portal claims article and your supply agreement for the dispute window.</t>
        </is>
      </c>
      <c r="H3" t="inlineStr">
        <is>
          <t>DIFOT / OTIF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>promo-scan-rebate</t>
        </is>
      </c>
      <c r="B4" t="inlineStr">
        <is>
          <t>Promo scan / rebate</t>
        </is>
      </c>
      <c r="C4" t="inlineStr">
        <is>
          <t>missing proof</t>
        </is>
      </c>
      <c r="D4" t="inlineStr" s="2">
        <is>
          <t>Promo agreement, SKU scope, store/banner scope, scan report, rate, period.</t>
        </is>
      </c>
      <c r="E4" t="inlineStr" s="2">
        <is>
          <t>Check agreed funding, scope, and reasonableness.</t>
        </is>
      </c>
      <c r="F4" t="inlineStr" s="2">
        <is>
          <t>Please provide the scan report by SKU, store group, and promo dates used to calculate this deduction.</t>
        </is>
      </c>
      <c r="G4" t="inlineStr" s="2">
        <is>
          <t>Check the retailer portal claims article and your promo agreement.</t>
        </is>
      </c>
      <c r="H4" t="inlineStr">
        <is>
          <t>Promotion funding</t>
        </is>
      </c>
      <c r="I4" t="inlineStr">
        <is>
          <t/>
        </is>
      </c>
      <c r="J4" t="inlineStr">
        <is>
          <t/>
        </is>
      </c>
    </row>
    <row r="5">
      <c r="A5" t="inlineStr">
        <is>
          <t>shrinkage</t>
        </is>
      </c>
      <c r="B5" t="inlineStr">
        <is>
          <t>Shrinkage</t>
        </is>
      </c>
      <c r="C5" t="inlineStr">
        <is>
          <t>Code risk</t>
        </is>
      </c>
      <c r="D5" t="inlineStr" s="2">
        <is>
          <t>Claim reason, possession point, supply agreement clause, retailer basis.</t>
        </is>
      </c>
      <c r="E5" t="inlineStr" s="2">
        <is>
          <t>Code risk if the retailer is Code-covered and the loss is post-possession.</t>
        </is>
      </c>
      <c r="F5" t="inlineStr" s="2">
        <is>
          <t>Please identify the basis for charging this shrinkage amount to us, including the possession point and any clause relied on.</t>
        </is>
      </c>
      <c r="G5" t="inlineStr" s="2">
        <is>
          <t>Confirm whether the retailer is Code-covered and when possession passed.</t>
        </is>
      </c>
      <c r="H5" t="inlineStr">
        <is>
          <t>Code-sensitive claims</t>
        </is>
      </c>
      <c r="I5" t="inlineStr">
        <is>
          <t/>
        </is>
      </c>
      <c r="J5" t="inlineStr">
        <is>
          <t/>
        </is>
      </c>
    </row>
    <row r="6">
      <c r="A6" t="inlineStr">
        <is>
          <t>shortfall</t>
        </is>
      </c>
      <c r="B6" t="inlineStr">
        <is>
          <t>Shortfall / short-delivery</t>
        </is>
      </c>
      <c r="C6" t="inlineStr">
        <is>
          <t>missing proof</t>
        </is>
      </c>
      <c r="D6" t="inlineStr" s="2">
        <is>
          <t>POD, delivery docket, ASN, retailer received quantity, claim date.</t>
        </is>
      </c>
      <c r="E6" t="inlineStr" s="2">
        <is>
          <t>Check the Code's 30-day cap on retailer-raised shortfall claims.</t>
        </is>
      </c>
      <c r="F6" t="inlineStr" s="2">
        <is>
          <t>Please provide the received-quantity evidence and the delivery date used for this shortfall claim.</t>
        </is>
      </c>
      <c r="G6" t="inlineStr" s="2">
        <is>
          <t>The Code caps retailer-raised shortfall claims at no later than 30 days after delivery where the Code applies.</t>
        </is>
      </c>
      <c r="H6" t="inlineStr">
        <is>
          <t>Delivery variance</t>
        </is>
      </c>
      <c r="I6" t="inlineStr">
        <is>
          <t>claimRaisedWithinDays</t>
        </is>
      </c>
      <c r="J6" t="inlineStr">
        <is>
          <t>30</t>
        </is>
      </c>
    </row>
    <row r="7">
      <c r="A7" t="inlineStr">
        <is>
          <t>damaged-goods</t>
        </is>
      </c>
      <c r="B7" t="inlineStr">
        <is>
          <t>Damaged goods</t>
        </is>
      </c>
      <c r="C7" t="inlineStr">
        <is>
          <t>missing proof</t>
        </is>
      </c>
      <c r="D7" t="inlineStr" s="2">
        <is>
          <t>POD condition notes, photos, carrier report, warehouse notes, claim date.</t>
        </is>
      </c>
      <c r="E7" t="inlineStr" s="2">
        <is>
          <t>Check the Code's 30-day cap on retailer-raised damage claims.</t>
        </is>
      </c>
      <c r="F7" t="inlineStr" s="2">
        <is>
          <t>Please provide the delivery date, claim date, and damage evidence used for this claim.</t>
        </is>
      </c>
      <c r="G7" t="inlineStr" s="2">
        <is>
          <t>The Code caps retailer-raised damage claims at no later than 30 days after delivery where the Code applies.</t>
        </is>
      </c>
      <c r="H7" t="inlineStr">
        <is>
          <t>Delivery variance</t>
        </is>
      </c>
      <c r="I7" t="inlineStr">
        <is>
          <t>claimRaisedWithinDays</t>
        </is>
      </c>
      <c r="J7" t="inlineStr">
        <is>
          <t>30</t>
        </is>
      </c>
    </row>
    <row r="8">
      <c r="A8" t="inlineStr">
        <is>
          <t>wastage</t>
        </is>
      </c>
      <c r="B8" t="inlineStr">
        <is>
          <t>Wastage</t>
        </is>
      </c>
      <c r="C8" t="inlineStr">
        <is>
          <t>Code risk</t>
        </is>
      </c>
      <c r="D8" t="inlineStr" s="2">
        <is>
          <t>Wastage clause, calculation method, actual cost basis, mitigation evidence.</t>
        </is>
      </c>
      <c r="E8" t="inlineStr" s="2">
        <is>
          <t>Check express agreement, reasonable amount, stated calculation, and retailer cost mitigation.</t>
        </is>
      </c>
      <c r="F8" t="inlineStr" s="2">
        <is>
          <t>Please provide the agreed wastage clause, calculation method, actual cost basis, and steps taken to reduce the cost.</t>
        </is>
      </c>
      <c r="G8" t="inlineStr" s="2">
        <is>
          <t>Check the supply agreement and retailer portal claim window.</t>
        </is>
      </c>
      <c r="H8" t="inlineStr">
        <is>
          <t>Code-sensitive claims</t>
        </is>
      </c>
      <c r="I8" t="inlineStr">
        <is>
          <t/>
        </is>
      </c>
      <c r="J8" t="inlineStr">
        <is>
          <t/>
        </is>
      </c>
    </row>
    <row r="9">
      <c r="A9" t="inlineStr">
        <is>
          <t>set-off</t>
        </is>
      </c>
      <c r="B9" t="inlineStr">
        <is>
          <t>Set-off</t>
        </is>
      </c>
      <c r="C9" t="inlineStr">
        <is>
          <t>Code risk</t>
        </is>
      </c>
      <c r="D9" t="inlineStr" s="2">
        <is>
          <t>Written consent or set-off clause, amount basis, debit note.</t>
        </is>
      </c>
      <c r="E9" t="inlineStr" s="2">
        <is>
          <t>Check written consent, agreement basis, and reasonableness.</t>
        </is>
      </c>
      <c r="F9" t="inlineStr" s="2">
        <is>
          <t>Please provide the written consent or supply agreement basis relied on for this set-off, plus the amount calculation.</t>
        </is>
      </c>
      <c r="G9" t="inlineStr" s="2">
        <is>
          <t>Check the supply agreement, trading terms, and retailer portal claim window.</t>
        </is>
      </c>
      <c r="H9" t="inlineStr">
        <is>
          <t>Code-sensitive claims</t>
        </is>
      </c>
      <c r="I9" t="inlineStr">
        <is>
          <t/>
        </is>
      </c>
      <c r="J9" t="inlineStr">
        <is>
          <t/>
        </is>
      </c>
    </row>
    <row r="10">
      <c r="A10" t="inlineStr">
        <is>
          <t>post-audit-claim</t>
        </is>
      </c>
      <c r="B10" t="inlineStr">
        <is>
          <t>Post-audit claim</t>
        </is>
      </c>
      <c r="C10" t="inlineStr">
        <is>
          <t>missing proof</t>
        </is>
      </c>
      <c r="D10" t="inlineStr" s="2">
        <is>
          <t>Original PO, invoice, price list, promo agreement, prior remittance.</t>
        </is>
      </c>
      <c r="E10" t="inlineStr" s="2">
        <is>
          <t>Check whether the set-off or charge basis is allowed by agreement and reasonable.</t>
        </is>
      </c>
      <c r="F10" t="inlineStr" s="2">
        <is>
          <t>Please provide the transaction trail and agreement basis used for this post-audit claim.</t>
        </is>
      </c>
      <c r="G10" t="inlineStr" s="2">
        <is>
          <t>Check the trading terms, supply agreement, and portal window for historic claims.</t>
        </is>
      </c>
      <c r="H10" t="inlineStr">
        <is>
          <t>Historic claims</t>
        </is>
      </c>
      <c r="I10" t="inlineStr">
        <is>
          <t/>
        </is>
      </c>
      <c r="J10" t="inlineStr">
        <is>
          <t/>
        </is>
      </c>
    </row>
    <row r="11">
      <c r="A11" t="inlineStr">
        <is>
          <t>duplicate-already-credited</t>
        </is>
      </c>
      <c r="B11" t="inlineStr">
        <is>
          <t>Duplicate / already credited</t>
        </is>
      </c>
      <c r="C11" t="inlineStr">
        <is>
          <t>worth challenging</t>
        </is>
      </c>
      <c r="D11" t="inlineStr" s="2">
        <is>
          <t>Prior remittance, debit note, credit note, claim ID, invoice history.</t>
        </is>
      </c>
      <c r="E11" t="inlineStr" s="2">
        <is>
          <t>Usually an evidence issue, not a Code issue.</t>
        </is>
      </c>
      <c r="F11" t="inlineStr" s="2">
        <is>
          <t>Please confirm whether this claim has already been deducted, set off, or credited, and provide the claim ID history.</t>
        </is>
      </c>
      <c r="G11" t="inlineStr" s="2">
        <is>
          <t>Check the retailer portal claim window and your credit note history.</t>
        </is>
      </c>
      <c r="H11" t="inlineStr">
        <is>
          <t>Duplicate claims</t>
        </is>
      </c>
      <c r="I11" t="inlineStr">
        <is>
          <t/>
        </is>
      </c>
      <c r="J11" t="inlineStr">
        <is>
          <t/>
        </is>
      </c>
    </row>
    <row r="12">
      <c r="A12" t="inlineStr">
        <is>
          <t>overpricing-price-discrepancy</t>
        </is>
      </c>
      <c r="B12" t="inlineStr">
        <is>
          <t>Overpricing / price discrepancy</t>
        </is>
      </c>
      <c r="C12" t="inlineStr">
        <is>
          <t>missing proof</t>
        </is>
      </c>
      <c r="D12" t="inlineStr" s="2">
        <is>
          <t>PO, agreed price list, invoice, effective-date evidence.</t>
        </is>
      </c>
      <c r="E12" t="inlineStr" s="2">
        <is>
          <t>Usually an evidence issue, not a Code issue.</t>
        </is>
      </c>
      <c r="F12" t="inlineStr" s="2">
        <is>
          <t>Please provide the agreed price and effective date used to calculate this price discrepancy.</t>
        </is>
      </c>
      <c r="G12" t="inlineStr" s="2">
        <is>
          <t>Check the retailer portal claim window and price-change terms.</t>
        </is>
      </c>
      <c r="H12" t="inlineStr">
        <is>
          <t>Price variance</t>
        </is>
      </c>
      <c r="I12" t="inlineStr">
        <is>
          <t/>
        </is>
      </c>
      <c r="J12" t="inlineStr">
        <is>
          <t/>
        </is>
      </c>
    </row>
    <row r="13">
      <c r="A13" t="inlineStr">
        <is>
          <t>pallet-packaging-charge</t>
        </is>
      </c>
      <c r="B13" t="inlineStr">
        <is>
          <t>Pallet / packaging charge</t>
        </is>
      </c>
      <c r="C13" t="inlineStr">
        <is>
          <t>missing proof</t>
        </is>
      </c>
      <c r="D13" t="inlineStr" s="2">
        <is>
          <t>Pallet transfer records, CHEP or Loscam statements, agreement, delivery docket.</t>
        </is>
      </c>
      <c r="E13" t="inlineStr" s="2">
        <is>
          <t>Check agreed basis and amount reasonableness where the Code applies.</t>
        </is>
      </c>
      <c r="F13" t="inlineStr" s="2">
        <is>
          <t>Please provide the pallet or packaging transfer records and agreement basis used for this charge.</t>
        </is>
      </c>
      <c r="G13" t="inlineStr" s="2">
        <is>
          <t>Check the retailer portal claim window; some equipment windows are separate from trade deductions.</t>
        </is>
      </c>
      <c r="H13" t="inlineStr">
        <is>
          <t>Operational charges</t>
        </is>
      </c>
      <c r="I13" t="inlineStr">
        <is>
          <t/>
        </is>
      </c>
      <c r="J13" t="inlineStr">
        <is>
          <t/>
        </is>
      </c>
    </row>
    <row r="14">
      <c r="A14" t="inlineStr">
        <is>
          <t>freight-transport-deduction</t>
        </is>
      </c>
      <c r="B14" t="inlineStr">
        <is>
          <t>Freight / transport deduction</t>
        </is>
      </c>
      <c r="C14" t="inlineStr">
        <is>
          <t>missing proof</t>
        </is>
      </c>
      <c r="D14" t="inlineStr" s="2">
        <is>
          <t>Freight terms, carrier invoice, PO, delivery evidence.</t>
        </is>
      </c>
      <c r="E14" t="inlineStr" s="2">
        <is>
          <t>Check agreed basis and amount reasonableness where the Code applies.</t>
        </is>
      </c>
      <c r="F14" t="inlineStr" s="2">
        <is>
          <t>Please provide the freight terms, carrier evidence, and calculation used for this deduction.</t>
        </is>
      </c>
      <c r="G14" t="inlineStr" s="2">
        <is>
          <t>Check the supply agreement and retailer portal claim window.</t>
        </is>
      </c>
      <c r="H14" t="inlineStr">
        <is>
          <t>Operational charges</t>
        </is>
      </c>
      <c r="I14" t="inlineStr">
        <is>
          <t/>
        </is>
      </c>
      <c r="J14" t="inlineStr">
        <is>
          <t/>
        </is>
      </c>
    </row>
    <row r="15">
      <c r="A15" t="inlineStr">
        <is>
          <t>listing-ranging-fee</t>
        </is>
      </c>
      <c r="B15" t="inlineStr">
        <is>
          <t>Listing / ranging fee</t>
        </is>
      </c>
      <c r="C15" t="inlineStr">
        <is>
          <t>Code risk</t>
        </is>
      </c>
      <c r="D15" t="inlineStr" s="2">
        <is>
          <t>Trading terms, listing or ranging agreement, SKU evidence, claim note.</t>
        </is>
      </c>
      <c r="E15" t="inlineStr" s="2">
        <is>
          <t>Check express written agreement and reasonableness.</t>
        </is>
      </c>
      <c r="F15" t="inlineStr" s="2">
        <is>
          <t>Please provide the express written agreement and amount basis used for this listing or ranging charge.</t>
        </is>
      </c>
      <c r="G15" t="inlineStr" s="2">
        <is>
          <t>Check the supply agreement, trading terms, and retailer portal claim window.</t>
        </is>
      </c>
      <c r="H15" t="inlineStr">
        <is>
          <t>Trade spend</t>
        </is>
      </c>
      <c r="I15" t="inlineStr">
        <is>
          <t/>
        </is>
      </c>
      <c r="J15" t="inlineStr">
        <is>
          <t/>
        </is>
      </c>
    </row>
    <row r="16">
      <c r="A16" t="inlineStr">
        <is>
          <t>retail-media-activity-charge</t>
        </is>
      </c>
      <c r="B16" t="inlineStr">
        <is>
          <t>Retail media / activity charge</t>
        </is>
      </c>
      <c r="C16" t="inlineStr">
        <is>
          <t>missing proof</t>
        </is>
      </c>
      <c r="D16" t="inlineStr" s="2">
        <is>
          <t>Booking confirmation, activity proof, agreement, invoice or debit note.</t>
        </is>
      </c>
      <c r="E16" t="inlineStr" s="2">
        <is>
          <t>Check express agreement, delivery proof, and amount basis.</t>
        </is>
      </c>
      <c r="F16" t="inlineStr" s="2">
        <is>
          <t>Please provide the booking confirmation, activity proof, and agreed amount basis for this activity charge.</t>
        </is>
      </c>
      <c r="G16" t="inlineStr" s="2">
        <is>
          <t>Check the campaign agreement and retailer portal claim window.</t>
        </is>
      </c>
      <c r="H16" t="inlineStr">
        <is>
          <t>Trade spend</t>
        </is>
      </c>
      <c r="I16" t="inlineStr">
        <is>
          <t/>
        </is>
      </c>
      <c r="J16" t="inlineStr">
        <is>
          <t/>
        </is>
      </c>
    </row>
    <row r="17">
      <c r="A17" t="inlineStr">
        <is>
          <t>asn-edi-barcode-compliance</t>
        </is>
      </c>
      <c r="B17" t="inlineStr">
        <is>
          <t>ASN / EDI / barcode compliance charge</t>
        </is>
      </c>
      <c r="C17" t="inlineStr">
        <is>
          <t>missing proof</t>
        </is>
      </c>
      <c r="D17" t="inlineStr" s="2">
        <is>
          <t>ASN log, EDI acknowledgement, label proof, warehouse receipt.</t>
        </is>
      </c>
      <c r="E17" t="inlineStr" s="2">
        <is>
          <t>Usually an evidence issue, not a Code issue.</t>
        </is>
      </c>
      <c r="F17" t="inlineStr" s="2">
        <is>
          <t>Please provide the ASN, EDI, barcode, or label error evidence used for this compliance charge.</t>
        </is>
      </c>
      <c r="G17" t="inlineStr" s="2">
        <is>
          <t>Check the retailer portal claim window and compliance-charge terms.</t>
        </is>
      </c>
      <c r="H17" t="inlineStr">
        <is>
          <t>Compliance charges</t>
        </is>
      </c>
      <c r="I17" t="inlineStr">
        <is>
          <t/>
        </is>
      </c>
      <c r="J17" t="inlineStr">
        <is>
          <t/>
        </is>
      </c>
    </row>
  </sheetData>
</worksheet>
</file>

<file path=xl/worksheets/sheet4.xml><?xml version="1.0" encoding="utf-8"?>
<worksheet xmlns="http://schemas.openxmlformats.org/spreadsheetml/2006/main">
  <dimension ref="A1:B8"/>
  <sheetViews>
    <sheetView workbookViewId="0"/>
  </sheetViews>
  <cols>
    <col min="1" max="1" width="24" customWidth="1"/>
    <col min="2" max="2" width="18" customWidth="1"/>
  </cols>
  <sheetData>
    <row r="1">
      <c r="A1" t="inlineStr" s="1">
        <is>
          <t>Verdict</t>
        </is>
      </c>
      <c r="B1" t="inlineStr" s="1">
        <is>
          <t>Total amount</t>
        </is>
      </c>
    </row>
    <row r="2">
      <c r="A2" t="inlineStr">
        <is>
          <t>supportable</t>
        </is>
      </c>
      <c r="B2" s="3">
        <f>SUMIF('Claim Ledger'!$H$2:$H$41,A2,'Claim Ledger'!$G$2:$G$41)</f>
      </c>
    </row>
    <row r="3">
      <c r="A3" t="inlineStr">
        <is>
          <t>missing proof</t>
        </is>
      </c>
      <c r="B3" s="3">
        <f>SUMIF('Claim Ledger'!$H$2:$H$41,A3,'Claim Ledger'!$G$2:$G$41)</f>
      </c>
    </row>
    <row r="4">
      <c r="A4" t="inlineStr">
        <is>
          <t>worth challenging</t>
        </is>
      </c>
      <c r="B4" s="3">
        <f>SUMIF('Claim Ledger'!$H$2:$H$41,A4,'Claim Ledger'!$G$2:$G$41)</f>
      </c>
    </row>
    <row r="5">
      <c r="A5" t="inlineStr">
        <is>
          <t>Code risk</t>
        </is>
      </c>
      <c r="B5" s="3">
        <f>SUMIF('Claim Ledger'!$H$2:$H$41,A5,'Claim Ledger'!$G$2:$G$41)</f>
      </c>
    </row>
    <row r="7">
      <c r="A7" t="inlineStr" s="1">
        <is>
          <t>Claims Desk handoff</t>
        </is>
      </c>
    </row>
    <row r="8">
      <c r="A8" t="inlineStr" s="2">
        <is>
          <t>Send one redacted remittance with claim IDs, line notes, evidence gaps, and the neutral query text you want reviewed.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Claim Ledger</vt:lpstr>
      <vt:lpstr>Deduction Type Matrix</vt:lpstr>
      <vt:lpstr>Summary</vt:lpstr>
    </vt:vector>
  </TitlesOfParts>
  <Company>INVARITECH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2026-06-30T00:00:00Z</dcterms:created>
  <dcterms:modified xsi:type="dcterms:W3CDTF">2026-06-30T00:00:00Z</dcterms:modified>
  <dc:title>Retailer Deduction Triage Worksheet</dc:title>
</cp:coreProperties>
</file>